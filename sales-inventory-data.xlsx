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E647582514B912D/ドキュメント/"/>
    </mc:Choice>
  </mc:AlternateContent>
  <xr:revisionPtr revIDLastSave="0" documentId="8_{0F4A5E91-0AB4-4BAB-91BB-F35A4362910F}" xr6:coauthVersionLast="47" xr6:coauthVersionMax="47" xr10:uidLastSave="{00000000-0000-0000-0000-000000000000}"/>
  <bookViews>
    <workbookView xWindow="-108" yWindow="-108" windowWidth="23256" windowHeight="13176" activeTab="1" xr2:uid="{49E502BC-AAE8-4E09-A1A7-44FDEAC8C25C}"/>
  </bookViews>
  <sheets>
    <sheet name="Date_sheet" sheetId="6" r:id="rId1"/>
    <sheet name="Customer_sheet" sheetId="7" r:id="rId2"/>
    <sheet name="Order_sheet" sheetId="3" r:id="rId3"/>
    <sheet name="Sales_sheet" sheetId="4" r:id="rId4"/>
    <sheet name="Inventory_shee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2" i="7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2" i="5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H3" i="4"/>
  <c r="H4" i="4"/>
  <c r="H5" i="4"/>
  <c r="H6" i="4"/>
  <c r="H7" i="4"/>
  <c r="H8" i="4"/>
  <c r="H9" i="4"/>
  <c r="H10" i="4"/>
  <c r="J10" i="4" s="1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I11" i="4"/>
  <c r="J11" i="4" s="1"/>
  <c r="I10" i="4"/>
  <c r="I9" i="4"/>
  <c r="I8" i="4"/>
  <c r="I7" i="4"/>
  <c r="I6" i="4"/>
  <c r="I5" i="4"/>
  <c r="I4" i="4"/>
  <c r="J4" i="4"/>
  <c r="I3" i="4"/>
  <c r="J3" i="4"/>
  <c r="I2" i="4"/>
  <c r="H2" i="4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3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" i="6"/>
  <c r="J6" i="4" l="1"/>
  <c r="J2" i="4"/>
  <c r="J7" i="4"/>
  <c r="J8" i="4"/>
  <c r="J9" i="4"/>
  <c r="J5" i="4"/>
</calcChain>
</file>

<file path=xl/sharedStrings.xml><?xml version="1.0" encoding="utf-8"?>
<sst xmlns="http://schemas.openxmlformats.org/spreadsheetml/2006/main" count="1968" uniqueCount="735">
  <si>
    <t>CUSID0001</t>
  </si>
  <si>
    <t>ORDID0001</t>
  </si>
  <si>
    <t>Frames</t>
  </si>
  <si>
    <t>Vintage Brass Photo Frame(Medium)</t>
  </si>
  <si>
    <t>ORDID0002</t>
  </si>
  <si>
    <t>ORDID0003</t>
  </si>
  <si>
    <t>ORDID0004</t>
  </si>
  <si>
    <t>ORDID0005</t>
  </si>
  <si>
    <t>ORDID0006</t>
  </si>
  <si>
    <t>ORDID0007</t>
  </si>
  <si>
    <t>ORDID0008</t>
  </si>
  <si>
    <t>ORDID0009</t>
  </si>
  <si>
    <t>CUSID0002</t>
  </si>
  <si>
    <t>CUSID0003</t>
  </si>
  <si>
    <t>CUSID0004</t>
  </si>
  <si>
    <t>CUSID0005</t>
  </si>
  <si>
    <t>CUSID0006</t>
  </si>
  <si>
    <t>CUSID0007</t>
  </si>
  <si>
    <t>CUSID0008</t>
  </si>
  <si>
    <t>CUSID0009</t>
  </si>
  <si>
    <t>Order_ID</t>
  </si>
  <si>
    <t>Customer_ID</t>
  </si>
  <si>
    <t>Order_Date</t>
  </si>
  <si>
    <t>Delivery_Date</t>
  </si>
  <si>
    <t>Payment_Mode (UPI / Cash / Bank Transfer</t>
  </si>
  <si>
    <t>City/Destination</t>
  </si>
  <si>
    <t>Sales_ID</t>
  </si>
  <si>
    <t>Product_Name</t>
  </si>
  <si>
    <t>Category</t>
  </si>
  <si>
    <t>Unit_Price</t>
  </si>
  <si>
    <t>Unit_Cost</t>
  </si>
  <si>
    <t>Current_Stock</t>
  </si>
  <si>
    <t>Reorder_Level</t>
  </si>
  <si>
    <t>Inventory_Status</t>
  </si>
  <si>
    <t>Date</t>
  </si>
  <si>
    <t>Year</t>
  </si>
  <si>
    <t>Month_Number</t>
  </si>
  <si>
    <t>Month_Name</t>
  </si>
  <si>
    <t>Quarter</t>
  </si>
  <si>
    <t>Weekday</t>
  </si>
  <si>
    <t>Is_Weekend</t>
  </si>
  <si>
    <t>Age_Group</t>
  </si>
  <si>
    <t>Repeat</t>
  </si>
  <si>
    <t>ORDID0010</t>
  </si>
  <si>
    <t>ORDID0011</t>
  </si>
  <si>
    <t>ORDID0012</t>
  </si>
  <si>
    <t>ORDID0013</t>
  </si>
  <si>
    <t>ORDID0014</t>
  </si>
  <si>
    <t>ORDID0015</t>
  </si>
  <si>
    <t>Guwahati, Assam</t>
  </si>
  <si>
    <t>Uttar Pradesh</t>
  </si>
  <si>
    <t>Karimganj, Assam</t>
  </si>
  <si>
    <t>Customized resin phone back cover</t>
  </si>
  <si>
    <t>Silchar, Assam</t>
  </si>
  <si>
    <t>Strawbery glass jar candle</t>
  </si>
  <si>
    <t>CUSID0010</t>
  </si>
  <si>
    <t>CUSID0011</t>
  </si>
  <si>
    <t>CUSID0012</t>
  </si>
  <si>
    <t>CUSID0013</t>
  </si>
  <si>
    <t>CUSID0014</t>
  </si>
  <si>
    <t>CUSID0015</t>
  </si>
  <si>
    <t>secret message candle</t>
  </si>
  <si>
    <t>customised beaded charm for phone</t>
  </si>
  <si>
    <t>Bengaluru, Karnataka</t>
  </si>
  <si>
    <t>Customized resin photo frame</t>
  </si>
  <si>
    <t>Floral phone cover</t>
  </si>
  <si>
    <t>ORDID0016</t>
  </si>
  <si>
    <t>ORDID0017</t>
  </si>
  <si>
    <t>ORDID0018</t>
  </si>
  <si>
    <t>ORDID0019</t>
  </si>
  <si>
    <t>ORDID0020</t>
  </si>
  <si>
    <t>CUSID0016</t>
  </si>
  <si>
    <t>CUSID0017</t>
  </si>
  <si>
    <t>CUSID0018</t>
  </si>
  <si>
    <t>CUSID0019</t>
  </si>
  <si>
    <t>CUSID0020</t>
  </si>
  <si>
    <t>ORDID0021</t>
  </si>
  <si>
    <t>ORDID0022</t>
  </si>
  <si>
    <t>ORDID0023</t>
  </si>
  <si>
    <t>ORDID0024</t>
  </si>
  <si>
    <t>ORDID0025</t>
  </si>
  <si>
    <t>CUSID0021</t>
  </si>
  <si>
    <t>CUSID0022</t>
  </si>
  <si>
    <t>CUSID0023</t>
  </si>
  <si>
    <t>CUSID0024</t>
  </si>
  <si>
    <t>CUSID0025</t>
  </si>
  <si>
    <t>Strawbery cream candle</t>
  </si>
  <si>
    <t>CUSID0027</t>
  </si>
  <si>
    <t>CUSID0028</t>
  </si>
  <si>
    <t>CUSID0029</t>
  </si>
  <si>
    <t>CUSID0030</t>
  </si>
  <si>
    <t>CUSID0031</t>
  </si>
  <si>
    <t>Nagaon, Assam</t>
  </si>
  <si>
    <t>CUSID0026</t>
  </si>
  <si>
    <t>Pragyajraj, Uttar Pradesh</t>
  </si>
  <si>
    <t>CUSID0032</t>
  </si>
  <si>
    <t>CUSID0033</t>
  </si>
  <si>
    <t>CUSID0034</t>
  </si>
  <si>
    <t>CUSID0035</t>
  </si>
  <si>
    <t>CUSID0036</t>
  </si>
  <si>
    <t>CUSID0037</t>
  </si>
  <si>
    <t>CUSID0038</t>
  </si>
  <si>
    <t>CUSID0039</t>
  </si>
  <si>
    <t>CUSID0040</t>
  </si>
  <si>
    <t>CUSID0041</t>
  </si>
  <si>
    <t>CUSID0042</t>
  </si>
  <si>
    <t>CUSID0043</t>
  </si>
  <si>
    <t>CUSID0044</t>
  </si>
  <si>
    <t>CUSID0045</t>
  </si>
  <si>
    <t>CUSID0046</t>
  </si>
  <si>
    <t>CUSID0047</t>
  </si>
  <si>
    <t>CUSID0048</t>
  </si>
  <si>
    <t>CUSID0049</t>
  </si>
  <si>
    <t>CUSID0050</t>
  </si>
  <si>
    <t>CUSID0051</t>
  </si>
  <si>
    <t>CUSID0052</t>
  </si>
  <si>
    <t>CUSID0053</t>
  </si>
  <si>
    <t>CUSID0054</t>
  </si>
  <si>
    <t>CUSID0055</t>
  </si>
  <si>
    <t>CUSID0056</t>
  </si>
  <si>
    <t>CUSID0057</t>
  </si>
  <si>
    <t>CUSID0058</t>
  </si>
  <si>
    <t>CUSID0059</t>
  </si>
  <si>
    <t>CUSID0060</t>
  </si>
  <si>
    <t>CUSID0061</t>
  </si>
  <si>
    <t>CUSID0062</t>
  </si>
  <si>
    <t>CUSID0063</t>
  </si>
  <si>
    <t>CUSID0064</t>
  </si>
  <si>
    <t>CUSID0065</t>
  </si>
  <si>
    <t>CUSID0066</t>
  </si>
  <si>
    <t>CUSID0067</t>
  </si>
  <si>
    <t>CUSID0068</t>
  </si>
  <si>
    <t>CUSID0069</t>
  </si>
  <si>
    <t>Varmala Preservation</t>
  </si>
  <si>
    <t>Pune, Maharashtra</t>
  </si>
  <si>
    <t>Kolkata, West Bengal</t>
  </si>
  <si>
    <t>Chennail, Tamil Nadu</t>
  </si>
  <si>
    <t>Vintage Brass Photo Frame(Large)</t>
  </si>
  <si>
    <t>Floral crystal jar candle</t>
  </si>
  <si>
    <t>Vintage letter box with handwritten letter</t>
  </si>
  <si>
    <t>Vintage double sided brass frame large</t>
  </si>
  <si>
    <t>Andhra Pradesh</t>
  </si>
  <si>
    <t>Wooden heart candle</t>
  </si>
  <si>
    <t>Customized handwritten letter</t>
  </si>
  <si>
    <t>customised resin frame 8*8 inch</t>
  </si>
  <si>
    <t>Madhya Pradesh</t>
  </si>
  <si>
    <t>Rose jar candle</t>
  </si>
  <si>
    <t>Rose candle bouquet</t>
  </si>
  <si>
    <t>Polaroid fridge magnet</t>
  </si>
  <si>
    <t>Peony glow candle</t>
  </si>
  <si>
    <t>CUSID0070</t>
  </si>
  <si>
    <t>CUSID0071</t>
  </si>
  <si>
    <t>Hyderabad, Telengana</t>
  </si>
  <si>
    <t>ORDID0026</t>
  </si>
  <si>
    <t>ORDID0027</t>
  </si>
  <si>
    <t>ORDID0028</t>
  </si>
  <si>
    <t>ORDID0029</t>
  </si>
  <si>
    <t>ORDID0030</t>
  </si>
  <si>
    <t>ORDID0031</t>
  </si>
  <si>
    <t>ORDID0032</t>
  </si>
  <si>
    <t>ORDID0033</t>
  </si>
  <si>
    <t>ORDID0034</t>
  </si>
  <si>
    <t>ORDID0035</t>
  </si>
  <si>
    <t>ORDID0036</t>
  </si>
  <si>
    <t>ORDID0037</t>
  </si>
  <si>
    <t>ORDID0038</t>
  </si>
  <si>
    <t>ORDID0039</t>
  </si>
  <si>
    <t>ORDID0040</t>
  </si>
  <si>
    <t>ORDID0041</t>
  </si>
  <si>
    <t>ORDID0042</t>
  </si>
  <si>
    <t>ORDID0043</t>
  </si>
  <si>
    <t>ORDID0044</t>
  </si>
  <si>
    <t>ORDID0045</t>
  </si>
  <si>
    <t>ORDID0046</t>
  </si>
  <si>
    <t>ORDID0047</t>
  </si>
  <si>
    <t>ORDID0048</t>
  </si>
  <si>
    <t>ORDID0049</t>
  </si>
  <si>
    <t>ORDID0050</t>
  </si>
  <si>
    <t>ORDID0051</t>
  </si>
  <si>
    <t>ORDID0052</t>
  </si>
  <si>
    <t>ORDID0053</t>
  </si>
  <si>
    <t>ORDID0054</t>
  </si>
  <si>
    <t>ORDID0055</t>
  </si>
  <si>
    <t>ORDID0056</t>
  </si>
  <si>
    <t>ORDID0057</t>
  </si>
  <si>
    <t>ORDID0058</t>
  </si>
  <si>
    <t>ORDID0059</t>
  </si>
  <si>
    <t>ORDID0060</t>
  </si>
  <si>
    <t>ORDID0061</t>
  </si>
  <si>
    <t>ORDID0062</t>
  </si>
  <si>
    <t>ORDID0063</t>
  </si>
  <si>
    <t>ORDID0064</t>
  </si>
  <si>
    <t>ORDID0065</t>
  </si>
  <si>
    <t>ORDID0066</t>
  </si>
  <si>
    <t>ORDID0067</t>
  </si>
  <si>
    <t>ORDID0068</t>
  </si>
  <si>
    <t>ORDID0069</t>
  </si>
  <si>
    <t>ORDID0070</t>
  </si>
  <si>
    <t>ORDID0071</t>
  </si>
  <si>
    <t>ORDID0072</t>
  </si>
  <si>
    <t>ORDID0073</t>
  </si>
  <si>
    <t>ORDID0074</t>
  </si>
  <si>
    <t>ORDID0075</t>
  </si>
  <si>
    <t>ORDID0076</t>
  </si>
  <si>
    <t>ORDID0077</t>
  </si>
  <si>
    <t>ORDID0078</t>
  </si>
  <si>
    <t>Daisy water candle</t>
  </si>
  <si>
    <t>Lotus urli candle</t>
  </si>
  <si>
    <t>CUSID0072</t>
  </si>
  <si>
    <t>CUSID0073</t>
  </si>
  <si>
    <t>CUSID0074</t>
  </si>
  <si>
    <t>CUSID0075</t>
  </si>
  <si>
    <t>CUSID0076</t>
  </si>
  <si>
    <t>CUSID0077</t>
  </si>
  <si>
    <t>CUSID0078</t>
  </si>
  <si>
    <t>ORDID0079</t>
  </si>
  <si>
    <t>ORDID0080</t>
  </si>
  <si>
    <t>ORDID0081</t>
  </si>
  <si>
    <t>ORDID0082</t>
  </si>
  <si>
    <t>ORDID0083</t>
  </si>
  <si>
    <t>ORDID0084</t>
  </si>
  <si>
    <t>ORDID0085</t>
  </si>
  <si>
    <t>Mithai Candle box</t>
  </si>
  <si>
    <t>Daisy pearl candle</t>
  </si>
  <si>
    <t>Gujarat</t>
  </si>
  <si>
    <t>Peacock urli candle small</t>
  </si>
  <si>
    <t>Lotus urli candle medium</t>
  </si>
  <si>
    <t>Sunflower candle</t>
  </si>
  <si>
    <t>CUSID0079</t>
  </si>
  <si>
    <t>CUSID0080</t>
  </si>
  <si>
    <t>CUSID0081</t>
  </si>
  <si>
    <t>CUSID0082</t>
  </si>
  <si>
    <t>CUSID0083</t>
  </si>
  <si>
    <t>CUSID0084</t>
  </si>
  <si>
    <t>CUSID0085</t>
  </si>
  <si>
    <t>CUSID0086</t>
  </si>
  <si>
    <t>CUSID0087</t>
  </si>
  <si>
    <t>CUSID0088</t>
  </si>
  <si>
    <t>CUSID0089</t>
  </si>
  <si>
    <t>ORDID0086</t>
  </si>
  <si>
    <t>ORDID0087</t>
  </si>
  <si>
    <t>ORDID0088</t>
  </si>
  <si>
    <t>ORDID0089</t>
  </si>
  <si>
    <t>ORDID0090</t>
  </si>
  <si>
    <t>ORDID0091</t>
  </si>
  <si>
    <t>ORDID0092</t>
  </si>
  <si>
    <t>ORDID0093</t>
  </si>
  <si>
    <t>ORDID0094</t>
  </si>
  <si>
    <t>ORDID0095</t>
  </si>
  <si>
    <t>ORDID0096</t>
  </si>
  <si>
    <t>ORDID0097</t>
  </si>
  <si>
    <t>ORDID0098</t>
  </si>
  <si>
    <t>ORDID0099</t>
  </si>
  <si>
    <t>ORDID0100</t>
  </si>
  <si>
    <t>ORDID0101</t>
  </si>
  <si>
    <t>Handmade flower bouquet</t>
  </si>
  <si>
    <t>Lavender rose heart candle</t>
  </si>
  <si>
    <t>Resin photo frame circular 10*10 inches</t>
  </si>
  <si>
    <t>Whipped Coffee Candle</t>
  </si>
  <si>
    <t>Customized resin hanging frame</t>
  </si>
  <si>
    <t>Handmade Rose Bouquet</t>
  </si>
  <si>
    <t>Secret message candle</t>
  </si>
  <si>
    <t>Resin floral jhumka</t>
  </si>
  <si>
    <t>Customize resin frame circular</t>
  </si>
  <si>
    <t>Handwritten letters</t>
  </si>
  <si>
    <t>Customized resin photo frame 5*5 inches</t>
  </si>
  <si>
    <t>Resin hanging frame 6*6 inch</t>
  </si>
  <si>
    <t>Rose bouquet</t>
  </si>
  <si>
    <t>Resin invitation frame</t>
  </si>
  <si>
    <t>Resin frame wedding calender</t>
  </si>
  <si>
    <t>ORDID0102</t>
  </si>
  <si>
    <t>ORDID0103</t>
  </si>
  <si>
    <t>ORDID0104</t>
  </si>
  <si>
    <t>ORDID0105</t>
  </si>
  <si>
    <t>ORDID0106</t>
  </si>
  <si>
    <t>ORDID0107</t>
  </si>
  <si>
    <t>ORDID0108</t>
  </si>
  <si>
    <t>ORDID0109</t>
  </si>
  <si>
    <t>ORDID0110</t>
  </si>
  <si>
    <t>ORDID0111</t>
  </si>
  <si>
    <t>ORDID0112</t>
  </si>
  <si>
    <t>ORDID0113</t>
  </si>
  <si>
    <t>ORDID0114</t>
  </si>
  <si>
    <t>ORDID0115</t>
  </si>
  <si>
    <t>ORDID0116</t>
  </si>
  <si>
    <t>ORDID0117</t>
  </si>
  <si>
    <t>ORDID0118</t>
  </si>
  <si>
    <t>ORDID0119</t>
  </si>
  <si>
    <t>ORDID0120</t>
  </si>
  <si>
    <t>ORDID0121</t>
  </si>
  <si>
    <t>ORDID0122</t>
  </si>
  <si>
    <t>ORDID0123</t>
  </si>
  <si>
    <t>ORDID0124</t>
  </si>
  <si>
    <t>ORDID0125</t>
  </si>
  <si>
    <t>ORDID0126</t>
  </si>
  <si>
    <t>ORDID0127</t>
  </si>
  <si>
    <t>ORDID0128</t>
  </si>
  <si>
    <t>ORDID0129</t>
  </si>
  <si>
    <t>ORDID0130</t>
  </si>
  <si>
    <t>ORDID0131</t>
  </si>
  <si>
    <t>ORDID0132</t>
  </si>
  <si>
    <t>ORDID0133</t>
  </si>
  <si>
    <t>ORDID0134</t>
  </si>
  <si>
    <t>ORDID0135</t>
  </si>
  <si>
    <t>ORDID0136</t>
  </si>
  <si>
    <t>ORDID0137</t>
  </si>
  <si>
    <t>ORDID0138</t>
  </si>
  <si>
    <t>ORDID0139</t>
  </si>
  <si>
    <t>ORDID0140</t>
  </si>
  <si>
    <t>CUSID0090</t>
  </si>
  <si>
    <t>CUSID0091</t>
  </si>
  <si>
    <t>CUSID0092</t>
  </si>
  <si>
    <t>CUSID0093</t>
  </si>
  <si>
    <t>CUSID0094</t>
  </si>
  <si>
    <t>CUSID0095</t>
  </si>
  <si>
    <t>CUSID0096</t>
  </si>
  <si>
    <t>CUSID0097</t>
  </si>
  <si>
    <t>CUSID0098</t>
  </si>
  <si>
    <t>CUSID0099</t>
  </si>
  <si>
    <t>CUSID0100</t>
  </si>
  <si>
    <t>CUSID0101</t>
  </si>
  <si>
    <t>CUSID0102</t>
  </si>
  <si>
    <t>CUSID0103</t>
  </si>
  <si>
    <t>CUSID0104</t>
  </si>
  <si>
    <t>CUSID0105</t>
  </si>
  <si>
    <t>CUSID0106</t>
  </si>
  <si>
    <t>CUSID0107</t>
  </si>
  <si>
    <t>CUSID0108</t>
  </si>
  <si>
    <t>CUSID0109</t>
  </si>
  <si>
    <t>CUSID0110</t>
  </si>
  <si>
    <t>CUSID0111</t>
  </si>
  <si>
    <t>CUSID0112</t>
  </si>
  <si>
    <t>CUSID0113</t>
  </si>
  <si>
    <t>CUSID0114</t>
  </si>
  <si>
    <t>CUSID0115</t>
  </si>
  <si>
    <t>CUSID0116</t>
  </si>
  <si>
    <t>CUSID0117</t>
  </si>
  <si>
    <t>CUSID0118</t>
  </si>
  <si>
    <t>CUSID0119</t>
  </si>
  <si>
    <t>CUSID0120</t>
  </si>
  <si>
    <t>CUSID0121</t>
  </si>
  <si>
    <t>CUSID0122</t>
  </si>
  <si>
    <t>CUSID0123</t>
  </si>
  <si>
    <t>CUSID0124</t>
  </si>
  <si>
    <t>CUSID0125</t>
  </si>
  <si>
    <t>CUSID0126</t>
  </si>
  <si>
    <t>CUSID0127</t>
  </si>
  <si>
    <t>CUSID0128</t>
  </si>
  <si>
    <t>CUSID0129</t>
  </si>
  <si>
    <t>CUSID0130</t>
  </si>
  <si>
    <t>CUSID0131</t>
  </si>
  <si>
    <t>CUSID0132</t>
  </si>
  <si>
    <t>ORDID0141</t>
  </si>
  <si>
    <t>ORDID0142</t>
  </si>
  <si>
    <t>ORDID0143</t>
  </si>
  <si>
    <t>ORDID0144</t>
  </si>
  <si>
    <t>ORDID0145</t>
  </si>
  <si>
    <t>ORDID0146</t>
  </si>
  <si>
    <t>ORDID0147</t>
  </si>
  <si>
    <t>ORDID0148</t>
  </si>
  <si>
    <t>ORDID0149</t>
  </si>
  <si>
    <t>ORDID0150</t>
  </si>
  <si>
    <t>ORDID0151</t>
  </si>
  <si>
    <t>ORDID0152</t>
  </si>
  <si>
    <t>ORDID0153</t>
  </si>
  <si>
    <t>ORDID0154</t>
  </si>
  <si>
    <t>ORDID0155</t>
  </si>
  <si>
    <t>ORDID0156</t>
  </si>
  <si>
    <t>ORDID0157</t>
  </si>
  <si>
    <t>ORDID0158</t>
  </si>
  <si>
    <t>Peacock urli candle large</t>
  </si>
  <si>
    <t>Pond urli candle small</t>
  </si>
  <si>
    <t>CUSID0133</t>
  </si>
  <si>
    <t>CUSID0134</t>
  </si>
  <si>
    <t>CUSID0135</t>
  </si>
  <si>
    <t>CUSID0136</t>
  </si>
  <si>
    <t>CUSID0137</t>
  </si>
  <si>
    <t>CUSID0138</t>
  </si>
  <si>
    <t>CUSID0139</t>
  </si>
  <si>
    <t>CUSID0140</t>
  </si>
  <si>
    <t>CUSID0141</t>
  </si>
  <si>
    <t>CUSID0142</t>
  </si>
  <si>
    <t>CUSID0143</t>
  </si>
  <si>
    <t>CUSID0144</t>
  </si>
  <si>
    <t>CUSID0145</t>
  </si>
  <si>
    <t>Alphabet resin Keychain</t>
  </si>
  <si>
    <t>ORDID0159</t>
  </si>
  <si>
    <t>ORDID0160</t>
  </si>
  <si>
    <t>ORDID0161</t>
  </si>
  <si>
    <t>Urli candle large</t>
  </si>
  <si>
    <t>Marigold urli candle medium</t>
  </si>
  <si>
    <t>Pooja thali resin customized</t>
  </si>
  <si>
    <t>UPI</t>
  </si>
  <si>
    <t>Cash</t>
  </si>
  <si>
    <t xml:space="preserve">Total value </t>
  </si>
  <si>
    <t>Total_Cost</t>
  </si>
  <si>
    <t>Total_Profit</t>
  </si>
  <si>
    <t>Quantity Number of units sold</t>
  </si>
  <si>
    <t>Wedding frame</t>
  </si>
  <si>
    <t>SID0001</t>
  </si>
  <si>
    <t>SID0002</t>
  </si>
  <si>
    <t xml:space="preserve">Customized wedding frame </t>
  </si>
  <si>
    <t>SID0003</t>
  </si>
  <si>
    <t>Heart glass Jar candle</t>
  </si>
  <si>
    <t>Ferro rocher chocolate bouquet</t>
  </si>
  <si>
    <t>SID0004</t>
  </si>
  <si>
    <t>SID0005</t>
  </si>
  <si>
    <t>SID0006</t>
  </si>
  <si>
    <t>SID0007</t>
  </si>
  <si>
    <t>SID0008</t>
  </si>
  <si>
    <t>SID0009</t>
  </si>
  <si>
    <t>SID0010</t>
  </si>
  <si>
    <t>SID0011</t>
  </si>
  <si>
    <t>SID0012</t>
  </si>
  <si>
    <t>SID0013</t>
  </si>
  <si>
    <t>SID0014</t>
  </si>
  <si>
    <t>Birthday hamper</t>
  </si>
  <si>
    <t>Customized phone back cover</t>
  </si>
  <si>
    <t>Accessories</t>
  </si>
  <si>
    <t>Petal bloom  candle</t>
  </si>
  <si>
    <t>Candle</t>
  </si>
  <si>
    <t>Hamper</t>
  </si>
  <si>
    <t>SID0015</t>
  </si>
  <si>
    <t>SID0016</t>
  </si>
  <si>
    <t>SID0017</t>
  </si>
  <si>
    <t>SID0018</t>
  </si>
  <si>
    <t>SID0019</t>
  </si>
  <si>
    <t>SID0020</t>
  </si>
  <si>
    <t>Jewellery</t>
  </si>
  <si>
    <t>Oreo biscuit candle</t>
  </si>
  <si>
    <t>Customized small canvas painting</t>
  </si>
  <si>
    <t>SID0021</t>
  </si>
  <si>
    <t>SID0022</t>
  </si>
  <si>
    <t>SID0023</t>
  </si>
  <si>
    <t>SID0024</t>
  </si>
  <si>
    <t>SID0025</t>
  </si>
  <si>
    <t>SID0026</t>
  </si>
  <si>
    <t>SID0027</t>
  </si>
  <si>
    <t>SID0028</t>
  </si>
  <si>
    <t>SID0029</t>
  </si>
  <si>
    <t xml:space="preserve">Customized wedding frame calender </t>
  </si>
  <si>
    <t>Customized resin keychain</t>
  </si>
  <si>
    <t>Customized keychain</t>
  </si>
  <si>
    <t xml:space="preserve">customized keychain </t>
  </si>
  <si>
    <t>Customized bookmark</t>
  </si>
  <si>
    <t>Hanumanji car dashboard</t>
  </si>
  <si>
    <t>Ganeshji car dashboard</t>
  </si>
  <si>
    <t>Decoration</t>
  </si>
  <si>
    <t>SID0030</t>
  </si>
  <si>
    <t>SID0031</t>
  </si>
  <si>
    <t>SID0032</t>
  </si>
  <si>
    <t>SID0033</t>
  </si>
  <si>
    <t>SID0034</t>
  </si>
  <si>
    <t>SID0035</t>
  </si>
  <si>
    <t>SID0036</t>
  </si>
  <si>
    <t>SID0037</t>
  </si>
  <si>
    <t>SID0038</t>
  </si>
  <si>
    <t>SID0039</t>
  </si>
  <si>
    <t>SID0040</t>
  </si>
  <si>
    <t>SID0041</t>
  </si>
  <si>
    <t>SID0042</t>
  </si>
  <si>
    <t>SID0043</t>
  </si>
  <si>
    <t>SID0044</t>
  </si>
  <si>
    <t>SID0045</t>
  </si>
  <si>
    <t>SID0046</t>
  </si>
  <si>
    <t>SID0047</t>
  </si>
  <si>
    <t>SID0048</t>
  </si>
  <si>
    <t>SID0049</t>
  </si>
  <si>
    <t>SID0050</t>
  </si>
  <si>
    <t>SID0051</t>
  </si>
  <si>
    <t>SID0052</t>
  </si>
  <si>
    <t>SID0053</t>
  </si>
  <si>
    <t>SID0054</t>
  </si>
  <si>
    <t>SID0055</t>
  </si>
  <si>
    <t>SID0056</t>
  </si>
  <si>
    <t>SID0057</t>
  </si>
  <si>
    <t>SID0058</t>
  </si>
  <si>
    <t>SID0059</t>
  </si>
  <si>
    <t>SID0060</t>
  </si>
  <si>
    <t>SID0061</t>
  </si>
  <si>
    <t>SID0062</t>
  </si>
  <si>
    <t>SID0063</t>
  </si>
  <si>
    <t>SID0064</t>
  </si>
  <si>
    <t>SID0065</t>
  </si>
  <si>
    <t>SID0066</t>
  </si>
  <si>
    <t>SID0067</t>
  </si>
  <si>
    <t>SID0068</t>
  </si>
  <si>
    <t>SID0069</t>
  </si>
  <si>
    <t>SID0070</t>
  </si>
  <si>
    <t>SID0071</t>
  </si>
  <si>
    <t>SID0072</t>
  </si>
  <si>
    <t>SID0073</t>
  </si>
  <si>
    <t>SID0074</t>
  </si>
  <si>
    <t>SID0075</t>
  </si>
  <si>
    <t>SID0076</t>
  </si>
  <si>
    <t>SID0077</t>
  </si>
  <si>
    <t>SID0078</t>
  </si>
  <si>
    <t>SID0079</t>
  </si>
  <si>
    <t>SID0080</t>
  </si>
  <si>
    <t>SID0081</t>
  </si>
  <si>
    <t>SID0082</t>
  </si>
  <si>
    <t>SID0083</t>
  </si>
  <si>
    <t>SID0084</t>
  </si>
  <si>
    <t>SID0085</t>
  </si>
  <si>
    <t>SID0086</t>
  </si>
  <si>
    <t>SID0087</t>
  </si>
  <si>
    <t>SID0088</t>
  </si>
  <si>
    <t>SID0089</t>
  </si>
  <si>
    <t>SID0090</t>
  </si>
  <si>
    <t>Canvas painting(small)</t>
  </si>
  <si>
    <t>Anniversary resin frame 8*8 inches</t>
  </si>
  <si>
    <t>Customized resin photoframe small</t>
  </si>
  <si>
    <t>Water candle</t>
  </si>
  <si>
    <t>Customized resin wedding invitation frame large</t>
  </si>
  <si>
    <t>Marriage anniversary resin frame large</t>
  </si>
  <si>
    <t>Photo album book small</t>
  </si>
  <si>
    <t>Farewell photo frames(small)</t>
  </si>
  <si>
    <t>6*6 resin photo frame</t>
  </si>
  <si>
    <t>Anniversary resin frame 6*6 inches</t>
  </si>
  <si>
    <t>Hanging resin frame anniversary calendar</t>
  </si>
  <si>
    <t>Rakhi hamper</t>
  </si>
  <si>
    <t>Customized resin photo frames</t>
  </si>
  <si>
    <t xml:space="preserve"> Iced coffee candle</t>
  </si>
  <si>
    <t>Tulip bouquet candle</t>
  </si>
  <si>
    <t>Gopal resin car dashboard stand</t>
  </si>
  <si>
    <t>Modak candles</t>
  </si>
  <si>
    <t>Birthday Hamper</t>
  </si>
  <si>
    <t>Sea shell candle</t>
  </si>
  <si>
    <t>Customised engagement platter</t>
  </si>
  <si>
    <t>Customised resin frame 6*6 inch</t>
  </si>
  <si>
    <t>Whisky candle</t>
  </si>
  <si>
    <t>Whipped daisy candle</t>
  </si>
  <si>
    <t>Phone charms</t>
  </si>
  <si>
    <t>Heart shape vintage brass frame</t>
  </si>
  <si>
    <t xml:space="preserve">Iced coffee candle </t>
  </si>
  <si>
    <t>Small urli diya candle</t>
  </si>
  <si>
    <t>Lotus diya candle small</t>
  </si>
  <si>
    <t>Vintage brass frame small</t>
  </si>
  <si>
    <t>Resin pendants</t>
  </si>
  <si>
    <t xml:space="preserve">Daisy Urli candle (medium)  </t>
  </si>
  <si>
    <t>Urli candle(small)</t>
  </si>
  <si>
    <t>SID0091</t>
  </si>
  <si>
    <t>SID0092</t>
  </si>
  <si>
    <t>SID0093</t>
  </si>
  <si>
    <t>SID0094</t>
  </si>
  <si>
    <t>SID0095</t>
  </si>
  <si>
    <t>SID0096</t>
  </si>
  <si>
    <t>SID0097</t>
  </si>
  <si>
    <t>SID0098</t>
  </si>
  <si>
    <t>SID0099</t>
  </si>
  <si>
    <t>SID0100</t>
  </si>
  <si>
    <t>SID0101</t>
  </si>
  <si>
    <t>SID0102</t>
  </si>
  <si>
    <t>SID0103</t>
  </si>
  <si>
    <t>SID0104</t>
  </si>
  <si>
    <t>SID0105</t>
  </si>
  <si>
    <t>SID0106</t>
  </si>
  <si>
    <t>SID0107</t>
  </si>
  <si>
    <t>SID0108</t>
  </si>
  <si>
    <t>SID0109</t>
  </si>
  <si>
    <t>SID0110</t>
  </si>
  <si>
    <t>SID0111</t>
  </si>
  <si>
    <t>SID0112</t>
  </si>
  <si>
    <t>SID0113</t>
  </si>
  <si>
    <t>SID0114</t>
  </si>
  <si>
    <t>SID0115</t>
  </si>
  <si>
    <t>SID0116</t>
  </si>
  <si>
    <t>SID0117</t>
  </si>
  <si>
    <t>SID0118</t>
  </si>
  <si>
    <t>SID0119</t>
  </si>
  <si>
    <t>SID0120</t>
  </si>
  <si>
    <t>SID0121</t>
  </si>
  <si>
    <t>SID0122</t>
  </si>
  <si>
    <t>SID0123</t>
  </si>
  <si>
    <t>SID0124</t>
  </si>
  <si>
    <t>SID0125</t>
  </si>
  <si>
    <t>SID0126</t>
  </si>
  <si>
    <t>SID0127</t>
  </si>
  <si>
    <t>SID0128</t>
  </si>
  <si>
    <t>SID0129</t>
  </si>
  <si>
    <t>SID0130</t>
  </si>
  <si>
    <t>SID0131</t>
  </si>
  <si>
    <t>SID0132</t>
  </si>
  <si>
    <t>SID0133</t>
  </si>
  <si>
    <t>SID0134</t>
  </si>
  <si>
    <t>SID0135</t>
  </si>
  <si>
    <t>SID0136</t>
  </si>
  <si>
    <t>SID0137</t>
  </si>
  <si>
    <t>SID0138</t>
  </si>
  <si>
    <t>SID0139</t>
  </si>
  <si>
    <t>SID0140</t>
  </si>
  <si>
    <t>SID0141</t>
  </si>
  <si>
    <t>SID0142</t>
  </si>
  <si>
    <t>SID0143</t>
  </si>
  <si>
    <t>SID0144</t>
  </si>
  <si>
    <t>SID0145</t>
  </si>
  <si>
    <t>SID0146</t>
  </si>
  <si>
    <t>SID0147</t>
  </si>
  <si>
    <t>SID0148</t>
  </si>
  <si>
    <t>SID0149</t>
  </si>
  <si>
    <t>SID0150</t>
  </si>
  <si>
    <t>SID0151</t>
  </si>
  <si>
    <t>SID0152</t>
  </si>
  <si>
    <t>SID0153</t>
  </si>
  <si>
    <t>SID0154</t>
  </si>
  <si>
    <t>SID0155</t>
  </si>
  <si>
    <t>SID0156</t>
  </si>
  <si>
    <t>SID0157</t>
  </si>
  <si>
    <t>SID0158</t>
  </si>
  <si>
    <t>SID0159</t>
  </si>
  <si>
    <t>SID0160</t>
  </si>
  <si>
    <t>SID0161</t>
  </si>
  <si>
    <t xml:space="preserve">Lotus pearl candle </t>
  </si>
  <si>
    <t xml:space="preserve">Urli candle small </t>
  </si>
  <si>
    <t>Lotus urli diya candles</t>
  </si>
  <si>
    <t xml:space="preserve"> White Marigold urli candle (medium)</t>
  </si>
  <si>
    <t>Yellow Marigold urli candle (medium)</t>
  </si>
  <si>
    <t>Diwali Hamper</t>
  </si>
  <si>
    <t xml:space="preserve">Urli diya candle small </t>
  </si>
  <si>
    <t>Lotus urli candle small</t>
  </si>
  <si>
    <t xml:space="preserve">Candle </t>
  </si>
  <si>
    <t xml:space="preserve"> Handwritten Letter</t>
  </si>
  <si>
    <t>Lotus small diya candles</t>
  </si>
  <si>
    <t>Laddu candles</t>
  </si>
  <si>
    <t>Resin fridge magnets</t>
  </si>
  <si>
    <t>Flower diya candles</t>
  </si>
  <si>
    <t>Urli small candle</t>
  </si>
  <si>
    <t>Daisy candle</t>
  </si>
  <si>
    <t xml:space="preserve">Sunflower candle </t>
  </si>
  <si>
    <t xml:space="preserve">Rose petal photo frame </t>
  </si>
  <si>
    <t xml:space="preserve"> Rose keychain</t>
  </si>
  <si>
    <t>Resin hanging photo frame heart</t>
  </si>
  <si>
    <t xml:space="preserve">Iced lavender latte candle  </t>
  </si>
  <si>
    <t>Iced matcha latte candle</t>
  </si>
  <si>
    <t xml:space="preserve"> Rose bookmark</t>
  </si>
  <si>
    <t>Rose  pendant</t>
  </si>
  <si>
    <t>Rose jhumka</t>
  </si>
  <si>
    <t>Makeup Bouquet</t>
  </si>
  <si>
    <t>SID0162</t>
  </si>
  <si>
    <t>SID0163</t>
  </si>
  <si>
    <t>SID0164</t>
  </si>
  <si>
    <t>SID0165</t>
  </si>
  <si>
    <t>SID0166</t>
  </si>
  <si>
    <t>SID0167</t>
  </si>
  <si>
    <t>SID0168</t>
  </si>
  <si>
    <t>SID0169</t>
  </si>
  <si>
    <t>SID0170</t>
  </si>
  <si>
    <t>Customized wedding invitation</t>
  </si>
  <si>
    <t xml:space="preserve">Daisy candle large </t>
  </si>
  <si>
    <t>Flower candle  medium</t>
  </si>
  <si>
    <t>SID0171</t>
  </si>
  <si>
    <t>SID0172</t>
  </si>
  <si>
    <t>SID0173</t>
  </si>
  <si>
    <t>SID0174</t>
  </si>
  <si>
    <t>SID0175</t>
  </si>
  <si>
    <t>SID0176</t>
  </si>
  <si>
    <t>customized rose ring</t>
  </si>
  <si>
    <t>customized rose jhumka</t>
  </si>
  <si>
    <t>customized rose bracelet</t>
  </si>
  <si>
    <t>SID0177</t>
  </si>
  <si>
    <t>SID0178</t>
  </si>
  <si>
    <t>Soy Wax</t>
  </si>
  <si>
    <t>Gel Wax</t>
  </si>
  <si>
    <t>Candle Fragrance Oils</t>
  </si>
  <si>
    <t>Candle Colour Dye</t>
  </si>
  <si>
    <t>Glass Jars (Small/Medium/Large)</t>
  </si>
  <si>
    <t>Urli Candle Moulds</t>
  </si>
  <si>
    <t>Flower Candle Moulds</t>
  </si>
  <si>
    <t>Diya Candle Moulds</t>
  </si>
  <si>
    <t>Decorative Candle Toppers</t>
  </si>
  <si>
    <t>Wick (Cotton)</t>
  </si>
  <si>
    <t>Epoxy Resin</t>
  </si>
  <si>
    <t>Resin Hardener</t>
  </si>
  <si>
    <t>Resin Colour Pigments</t>
  </si>
  <si>
    <t>Dried Flowers</t>
  </si>
  <si>
    <t>Photo Prints (Glossy)</t>
  </si>
  <si>
    <t>Resin Polishing Sheets</t>
  </si>
  <si>
    <t>Acrylic Paints</t>
  </si>
  <si>
    <t>Vintage Brass Frames (Small/Medium/Large)</t>
  </si>
  <si>
    <t>Wooden Frames</t>
  </si>
  <si>
    <t>Glass Sheets</t>
  </si>
  <si>
    <t>Mount Boards</t>
  </si>
  <si>
    <t>Handmade Paper Sheets</t>
  </si>
  <si>
    <t>Letters, cards</t>
  </si>
  <si>
    <t>Envelopes</t>
  </si>
  <si>
    <t>Letters</t>
  </si>
  <si>
    <t>Scrapbook Sheets</t>
  </si>
  <si>
    <t>Albums</t>
  </si>
  <si>
    <t>Polaroid Photo Paper</t>
  </si>
  <si>
    <t>Polaroids</t>
  </si>
  <si>
    <t>Calendar Sheets</t>
  </si>
  <si>
    <t>Beads</t>
  </si>
  <si>
    <t>Jump Rings</t>
  </si>
  <si>
    <t>Keychains</t>
  </si>
  <si>
    <t>Chains</t>
  </si>
  <si>
    <t>Pendants</t>
  </si>
  <si>
    <t>Hooks &amp; Clasps</t>
  </si>
  <si>
    <t>Metal Findings</t>
  </si>
  <si>
    <t>Gift Boxes (Small/Medium/Large)</t>
  </si>
  <si>
    <t>Hampers</t>
  </si>
  <si>
    <t>Wrapping Paper</t>
  </si>
  <si>
    <t>Packaging</t>
  </si>
  <si>
    <t>Butter Paper</t>
  </si>
  <si>
    <t>Shredded Paper</t>
  </si>
  <si>
    <t>Ribbons &amp; Twine</t>
  </si>
  <si>
    <t>Thank You Cards</t>
  </si>
  <si>
    <t>Branding</t>
  </si>
  <si>
    <t>Stickers / Labels</t>
  </si>
  <si>
    <t>Chocolates (Ferrero, Dairy Milk, Oreo)</t>
  </si>
  <si>
    <t>Dry Fruits</t>
  </si>
  <si>
    <t>Perfume Mini Bottles</t>
  </si>
  <si>
    <t>Canvas Boards (Small)</t>
  </si>
  <si>
    <t>Fairy lights</t>
  </si>
  <si>
    <t>Artificial Flower heads</t>
  </si>
  <si>
    <t>Pearls &amp; stones</t>
  </si>
  <si>
    <t>Resin mixing cups</t>
  </si>
  <si>
    <t>Disposable hand gloves</t>
  </si>
  <si>
    <t>Photoframe stand</t>
  </si>
  <si>
    <t>Unit</t>
  </si>
  <si>
    <t>Kgs</t>
  </si>
  <si>
    <t>Bundles</t>
  </si>
  <si>
    <t>Bottles</t>
  </si>
  <si>
    <t>Boxes</t>
  </si>
  <si>
    <t>Pieces</t>
  </si>
  <si>
    <t xml:space="preserve"> candles</t>
  </si>
  <si>
    <t>Preparation</t>
  </si>
  <si>
    <t>Male</t>
  </si>
  <si>
    <t>Female</t>
  </si>
  <si>
    <t>Gender (Male / Female /Other)</t>
  </si>
  <si>
    <t>15-25</t>
  </si>
  <si>
    <t>25-35</t>
  </si>
  <si>
    <t xml:space="preserve">Resin  Frame </t>
  </si>
  <si>
    <t>Bouquet</t>
  </si>
  <si>
    <t>Lavender latte candle</t>
  </si>
  <si>
    <t>Letters and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</si>
</sst>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0" fillId="2" borderId="0" xfId="0" applyFill="1"/>
    <xf numFmtId="0" fontId="1" fillId="0" borderId="0" xfId="0" applyFont="1"/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2" borderId="0" xfId="0" applyNumberFormat="1" applyFill="1"/>
    <xf numFmtId="0" fontId="0" fillId="2" borderId="0" xfId="0" applyFill="1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AE0A-DF78-45BD-BBE1-143BB2F297A6}">
  <dimension ref="A1:G925"/>
  <sheetViews>
    <sheetView workbookViewId="0">
      <selection activeCell="U5" sqref="U5"/>
    </sheetView>
  </sheetViews>
  <sheetFormatPr defaultRowHeight="14.4" x14ac:dyDescent="0.3"/>
  <cols>
    <col min="1" max="1" width="10.33203125" bestFit="1" customWidth="1"/>
  </cols>
  <sheetData>
    <row r="1" spans="1:7" ht="28.8" x14ac:dyDescent="0.3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  <c r="G1" s="13" t="s">
        <v>40</v>
      </c>
    </row>
    <row r="2" spans="1:7" x14ac:dyDescent="0.3">
      <c r="A2" s="2">
        <v>45809</v>
      </c>
      <c r="B2">
        <f xml:space="preserve"> YEAR(A2)</f>
        <v>2025</v>
      </c>
      <c r="C2">
        <f>MONTH(A2)</f>
        <v>6</v>
      </c>
      <c r="D2" t="str">
        <f>TEXT(A2,"mmmm")</f>
        <v>June</v>
      </c>
      <c r="E2" t="str">
        <f>"Q"&amp;ROUNDUP(MONTH(A2)/3,0)</f>
        <v>Q2</v>
      </c>
      <c r="F2" t="str">
        <f>TEXT(A2,"dddd")</f>
        <v>Sunday</v>
      </c>
      <c r="G2" t="str">
        <f>IF(OR(WEEKDAY(A2)=1,WEEKDAY(A2)=7),"Yes","No")</f>
        <v>Yes</v>
      </c>
    </row>
    <row r="3" spans="1:7" x14ac:dyDescent="0.3">
      <c r="A3" s="2">
        <v>45810</v>
      </c>
      <c r="B3">
        <f t="shared" ref="B3:B66" si="0" xml:space="preserve"> YEAR(A3)</f>
        <v>2025</v>
      </c>
      <c r="C3">
        <f t="shared" ref="C3:C66" si="1">MONTH(A3)</f>
        <v>6</v>
      </c>
      <c r="D3" t="str">
        <f t="shared" ref="D3:D66" si="2">TEXT(A3,"mmmm")</f>
        <v>June</v>
      </c>
      <c r="E3" t="str">
        <f>"Q"&amp;ROUNDUP(MONTH(A3)/3,0)</f>
        <v>Q2</v>
      </c>
      <c r="F3" t="str">
        <f t="shared" ref="F3:F66" si="3">TEXT(A3,"dddd")</f>
        <v>Monday</v>
      </c>
      <c r="G3" t="str">
        <f t="shared" ref="G3:G66" si="4">IF(OR(WEEKDAY(A3)=1,WEEKDAY(A3)=7),"Yes","No")</f>
        <v>No</v>
      </c>
    </row>
    <row r="4" spans="1:7" x14ac:dyDescent="0.3">
      <c r="A4" s="2">
        <v>45811</v>
      </c>
      <c r="B4">
        <f t="shared" si="0"/>
        <v>2025</v>
      </c>
      <c r="C4">
        <f t="shared" si="1"/>
        <v>6</v>
      </c>
      <c r="D4" t="str">
        <f t="shared" si="2"/>
        <v>June</v>
      </c>
      <c r="E4" t="str">
        <f t="shared" ref="E4:E67" si="5">"Q"&amp;ROUNDUP(MONTH(A4)/3,0)</f>
        <v>Q2</v>
      </c>
      <c r="F4" t="str">
        <f t="shared" si="3"/>
        <v>Tuesday</v>
      </c>
      <c r="G4" t="str">
        <f t="shared" si="4"/>
        <v>No</v>
      </c>
    </row>
    <row r="5" spans="1:7" x14ac:dyDescent="0.3">
      <c r="A5" s="2">
        <v>45812</v>
      </c>
      <c r="B5">
        <f t="shared" si="0"/>
        <v>2025</v>
      </c>
      <c r="C5">
        <f t="shared" si="1"/>
        <v>6</v>
      </c>
      <c r="D5" t="str">
        <f t="shared" si="2"/>
        <v>June</v>
      </c>
      <c r="E5" t="str">
        <f t="shared" si="5"/>
        <v>Q2</v>
      </c>
      <c r="F5" t="str">
        <f t="shared" si="3"/>
        <v>Wednesday</v>
      </c>
      <c r="G5" t="str">
        <f t="shared" si="4"/>
        <v>No</v>
      </c>
    </row>
    <row r="6" spans="1:7" x14ac:dyDescent="0.3">
      <c r="A6" s="2">
        <v>45813</v>
      </c>
      <c r="B6">
        <f t="shared" si="0"/>
        <v>2025</v>
      </c>
      <c r="C6">
        <f t="shared" si="1"/>
        <v>6</v>
      </c>
      <c r="D6" t="str">
        <f t="shared" si="2"/>
        <v>June</v>
      </c>
      <c r="E6" t="str">
        <f t="shared" si="5"/>
        <v>Q2</v>
      </c>
      <c r="F6" t="str">
        <f t="shared" si="3"/>
        <v>Thursday</v>
      </c>
      <c r="G6" t="str">
        <f t="shared" si="4"/>
        <v>No</v>
      </c>
    </row>
    <row r="7" spans="1:7" x14ac:dyDescent="0.3">
      <c r="A7" s="2">
        <v>45814</v>
      </c>
      <c r="B7">
        <f t="shared" si="0"/>
        <v>2025</v>
      </c>
      <c r="C7">
        <f t="shared" si="1"/>
        <v>6</v>
      </c>
      <c r="D7" t="str">
        <f t="shared" si="2"/>
        <v>June</v>
      </c>
      <c r="E7" t="str">
        <f t="shared" si="5"/>
        <v>Q2</v>
      </c>
      <c r="F7" t="str">
        <f t="shared" si="3"/>
        <v>Friday</v>
      </c>
      <c r="G7" t="str">
        <f t="shared" si="4"/>
        <v>No</v>
      </c>
    </row>
    <row r="8" spans="1:7" x14ac:dyDescent="0.3">
      <c r="A8" s="2">
        <v>45815</v>
      </c>
      <c r="B8">
        <f t="shared" si="0"/>
        <v>2025</v>
      </c>
      <c r="C8">
        <f t="shared" si="1"/>
        <v>6</v>
      </c>
      <c r="D8" t="str">
        <f t="shared" si="2"/>
        <v>June</v>
      </c>
      <c r="E8" t="str">
        <f t="shared" si="5"/>
        <v>Q2</v>
      </c>
      <c r="F8" t="str">
        <f t="shared" si="3"/>
        <v>Saturday</v>
      </c>
      <c r="G8" t="str">
        <f t="shared" si="4"/>
        <v>Yes</v>
      </c>
    </row>
    <row r="9" spans="1:7" x14ac:dyDescent="0.3">
      <c r="A9" s="2">
        <v>45816</v>
      </c>
      <c r="B9">
        <f t="shared" si="0"/>
        <v>2025</v>
      </c>
      <c r="C9">
        <f t="shared" si="1"/>
        <v>6</v>
      </c>
      <c r="D9" t="str">
        <f t="shared" si="2"/>
        <v>June</v>
      </c>
      <c r="E9" t="str">
        <f t="shared" si="5"/>
        <v>Q2</v>
      </c>
      <c r="F9" t="str">
        <f t="shared" si="3"/>
        <v>Sunday</v>
      </c>
      <c r="G9" t="str">
        <f t="shared" si="4"/>
        <v>Yes</v>
      </c>
    </row>
    <row r="10" spans="1:7" x14ac:dyDescent="0.3">
      <c r="A10" s="2">
        <v>45817</v>
      </c>
      <c r="B10">
        <f t="shared" si="0"/>
        <v>2025</v>
      </c>
      <c r="C10">
        <f t="shared" si="1"/>
        <v>6</v>
      </c>
      <c r="D10" t="str">
        <f t="shared" si="2"/>
        <v>June</v>
      </c>
      <c r="E10" t="str">
        <f t="shared" si="5"/>
        <v>Q2</v>
      </c>
      <c r="F10" t="str">
        <f t="shared" si="3"/>
        <v>Monday</v>
      </c>
      <c r="G10" t="str">
        <f t="shared" si="4"/>
        <v>No</v>
      </c>
    </row>
    <row r="11" spans="1:7" x14ac:dyDescent="0.3">
      <c r="A11" s="2">
        <v>45818</v>
      </c>
      <c r="B11">
        <f t="shared" si="0"/>
        <v>2025</v>
      </c>
      <c r="C11">
        <f t="shared" si="1"/>
        <v>6</v>
      </c>
      <c r="D11" t="str">
        <f t="shared" si="2"/>
        <v>June</v>
      </c>
      <c r="E11" t="str">
        <f t="shared" si="5"/>
        <v>Q2</v>
      </c>
      <c r="F11" t="str">
        <f t="shared" si="3"/>
        <v>Tuesday</v>
      </c>
      <c r="G11" t="str">
        <f t="shared" si="4"/>
        <v>No</v>
      </c>
    </row>
    <row r="12" spans="1:7" x14ac:dyDescent="0.3">
      <c r="A12" s="2">
        <v>45819</v>
      </c>
      <c r="B12">
        <f t="shared" si="0"/>
        <v>2025</v>
      </c>
      <c r="C12">
        <f t="shared" si="1"/>
        <v>6</v>
      </c>
      <c r="D12" t="str">
        <f t="shared" si="2"/>
        <v>June</v>
      </c>
      <c r="E12" t="str">
        <f t="shared" si="5"/>
        <v>Q2</v>
      </c>
      <c r="F12" t="str">
        <f t="shared" si="3"/>
        <v>Wednesday</v>
      </c>
      <c r="G12" t="str">
        <f t="shared" si="4"/>
        <v>No</v>
      </c>
    </row>
    <row r="13" spans="1:7" x14ac:dyDescent="0.3">
      <c r="A13" s="2">
        <v>45820</v>
      </c>
      <c r="B13">
        <f t="shared" si="0"/>
        <v>2025</v>
      </c>
      <c r="C13">
        <f t="shared" si="1"/>
        <v>6</v>
      </c>
      <c r="D13" t="str">
        <f t="shared" si="2"/>
        <v>June</v>
      </c>
      <c r="E13" t="str">
        <f t="shared" si="5"/>
        <v>Q2</v>
      </c>
      <c r="F13" t="str">
        <f t="shared" si="3"/>
        <v>Thursday</v>
      </c>
      <c r="G13" t="str">
        <f t="shared" si="4"/>
        <v>No</v>
      </c>
    </row>
    <row r="14" spans="1:7" x14ac:dyDescent="0.3">
      <c r="A14" s="2">
        <v>45821</v>
      </c>
      <c r="B14">
        <f t="shared" si="0"/>
        <v>2025</v>
      </c>
      <c r="C14">
        <f t="shared" si="1"/>
        <v>6</v>
      </c>
      <c r="D14" t="str">
        <f t="shared" si="2"/>
        <v>June</v>
      </c>
      <c r="E14" t="str">
        <f t="shared" si="5"/>
        <v>Q2</v>
      </c>
      <c r="F14" t="str">
        <f t="shared" si="3"/>
        <v>Friday</v>
      </c>
      <c r="G14" t="str">
        <f t="shared" si="4"/>
        <v>No</v>
      </c>
    </row>
    <row r="15" spans="1:7" x14ac:dyDescent="0.3">
      <c r="A15" s="2">
        <v>45822</v>
      </c>
      <c r="B15">
        <f t="shared" si="0"/>
        <v>2025</v>
      </c>
      <c r="C15">
        <f t="shared" si="1"/>
        <v>6</v>
      </c>
      <c r="D15" t="str">
        <f t="shared" si="2"/>
        <v>June</v>
      </c>
      <c r="E15" t="str">
        <f t="shared" si="5"/>
        <v>Q2</v>
      </c>
      <c r="F15" t="str">
        <f t="shared" si="3"/>
        <v>Saturday</v>
      </c>
      <c r="G15" t="str">
        <f t="shared" si="4"/>
        <v>Yes</v>
      </c>
    </row>
    <row r="16" spans="1:7" x14ac:dyDescent="0.3">
      <c r="A16" s="2">
        <v>45823</v>
      </c>
      <c r="B16">
        <f t="shared" si="0"/>
        <v>2025</v>
      </c>
      <c r="C16">
        <f t="shared" si="1"/>
        <v>6</v>
      </c>
      <c r="D16" t="str">
        <f t="shared" si="2"/>
        <v>June</v>
      </c>
      <c r="E16" t="str">
        <f t="shared" si="5"/>
        <v>Q2</v>
      </c>
      <c r="F16" t="str">
        <f t="shared" si="3"/>
        <v>Sunday</v>
      </c>
      <c r="G16" t="str">
        <f t="shared" si="4"/>
        <v>Yes</v>
      </c>
    </row>
    <row r="17" spans="1:7" x14ac:dyDescent="0.3">
      <c r="A17" s="2">
        <v>45824</v>
      </c>
      <c r="B17">
        <f t="shared" si="0"/>
        <v>2025</v>
      </c>
      <c r="C17">
        <f t="shared" si="1"/>
        <v>6</v>
      </c>
      <c r="D17" t="str">
        <f t="shared" si="2"/>
        <v>June</v>
      </c>
      <c r="E17" t="str">
        <f t="shared" si="5"/>
        <v>Q2</v>
      </c>
      <c r="F17" t="str">
        <f t="shared" si="3"/>
        <v>Monday</v>
      </c>
      <c r="G17" t="str">
        <f t="shared" si="4"/>
        <v>No</v>
      </c>
    </row>
    <row r="18" spans="1:7" x14ac:dyDescent="0.3">
      <c r="A18" s="2">
        <v>45825</v>
      </c>
      <c r="B18">
        <f t="shared" si="0"/>
        <v>2025</v>
      </c>
      <c r="C18">
        <f t="shared" si="1"/>
        <v>6</v>
      </c>
      <c r="D18" t="str">
        <f t="shared" si="2"/>
        <v>June</v>
      </c>
      <c r="E18" t="str">
        <f t="shared" si="5"/>
        <v>Q2</v>
      </c>
      <c r="F18" t="str">
        <f t="shared" si="3"/>
        <v>Tuesday</v>
      </c>
      <c r="G18" t="str">
        <f t="shared" si="4"/>
        <v>No</v>
      </c>
    </row>
    <row r="19" spans="1:7" x14ac:dyDescent="0.3">
      <c r="A19" s="2">
        <v>45826</v>
      </c>
      <c r="B19">
        <f t="shared" si="0"/>
        <v>2025</v>
      </c>
      <c r="C19">
        <f t="shared" si="1"/>
        <v>6</v>
      </c>
      <c r="D19" t="str">
        <f t="shared" si="2"/>
        <v>June</v>
      </c>
      <c r="E19" t="str">
        <f t="shared" si="5"/>
        <v>Q2</v>
      </c>
      <c r="F19" t="str">
        <f t="shared" si="3"/>
        <v>Wednesday</v>
      </c>
      <c r="G19" t="str">
        <f t="shared" si="4"/>
        <v>No</v>
      </c>
    </row>
    <row r="20" spans="1:7" x14ac:dyDescent="0.3">
      <c r="A20" s="2">
        <v>45827</v>
      </c>
      <c r="B20">
        <f t="shared" si="0"/>
        <v>2025</v>
      </c>
      <c r="C20">
        <f t="shared" si="1"/>
        <v>6</v>
      </c>
      <c r="D20" t="str">
        <f t="shared" si="2"/>
        <v>June</v>
      </c>
      <c r="E20" t="str">
        <f t="shared" si="5"/>
        <v>Q2</v>
      </c>
      <c r="F20" t="str">
        <f t="shared" si="3"/>
        <v>Thursday</v>
      </c>
      <c r="G20" t="str">
        <f t="shared" si="4"/>
        <v>No</v>
      </c>
    </row>
    <row r="21" spans="1:7" x14ac:dyDescent="0.3">
      <c r="A21" s="2">
        <v>45828</v>
      </c>
      <c r="B21">
        <f t="shared" si="0"/>
        <v>2025</v>
      </c>
      <c r="C21">
        <f t="shared" si="1"/>
        <v>6</v>
      </c>
      <c r="D21" t="str">
        <f t="shared" si="2"/>
        <v>June</v>
      </c>
      <c r="E21" t="str">
        <f t="shared" si="5"/>
        <v>Q2</v>
      </c>
      <c r="F21" t="str">
        <f t="shared" si="3"/>
        <v>Friday</v>
      </c>
      <c r="G21" t="str">
        <f t="shared" si="4"/>
        <v>No</v>
      </c>
    </row>
    <row r="22" spans="1:7" x14ac:dyDescent="0.3">
      <c r="A22" s="2">
        <v>45829</v>
      </c>
      <c r="B22">
        <f t="shared" si="0"/>
        <v>2025</v>
      </c>
      <c r="C22">
        <f t="shared" si="1"/>
        <v>6</v>
      </c>
      <c r="D22" t="str">
        <f t="shared" si="2"/>
        <v>June</v>
      </c>
      <c r="E22" t="str">
        <f t="shared" si="5"/>
        <v>Q2</v>
      </c>
      <c r="F22" t="str">
        <f t="shared" si="3"/>
        <v>Saturday</v>
      </c>
      <c r="G22" t="str">
        <f t="shared" si="4"/>
        <v>Yes</v>
      </c>
    </row>
    <row r="23" spans="1:7" x14ac:dyDescent="0.3">
      <c r="A23" s="2">
        <v>45830</v>
      </c>
      <c r="B23">
        <f t="shared" si="0"/>
        <v>2025</v>
      </c>
      <c r="C23">
        <f t="shared" si="1"/>
        <v>6</v>
      </c>
      <c r="D23" t="str">
        <f t="shared" si="2"/>
        <v>June</v>
      </c>
      <c r="E23" t="str">
        <f t="shared" si="5"/>
        <v>Q2</v>
      </c>
      <c r="F23" t="str">
        <f t="shared" si="3"/>
        <v>Sunday</v>
      </c>
      <c r="G23" t="str">
        <f t="shared" si="4"/>
        <v>Yes</v>
      </c>
    </row>
    <row r="24" spans="1:7" x14ac:dyDescent="0.3">
      <c r="A24" s="2">
        <v>45831</v>
      </c>
      <c r="B24">
        <f t="shared" si="0"/>
        <v>2025</v>
      </c>
      <c r="C24">
        <f t="shared" si="1"/>
        <v>6</v>
      </c>
      <c r="D24" t="str">
        <f t="shared" si="2"/>
        <v>June</v>
      </c>
      <c r="E24" t="str">
        <f t="shared" si="5"/>
        <v>Q2</v>
      </c>
      <c r="F24" t="str">
        <f t="shared" si="3"/>
        <v>Monday</v>
      </c>
      <c r="G24" t="str">
        <f t="shared" si="4"/>
        <v>No</v>
      </c>
    </row>
    <row r="25" spans="1:7" x14ac:dyDescent="0.3">
      <c r="A25" s="2">
        <v>45832</v>
      </c>
      <c r="B25">
        <f t="shared" si="0"/>
        <v>2025</v>
      </c>
      <c r="C25">
        <f t="shared" si="1"/>
        <v>6</v>
      </c>
      <c r="D25" t="str">
        <f t="shared" si="2"/>
        <v>June</v>
      </c>
      <c r="E25" t="str">
        <f t="shared" si="5"/>
        <v>Q2</v>
      </c>
      <c r="F25" t="str">
        <f t="shared" si="3"/>
        <v>Tuesday</v>
      </c>
      <c r="G25" t="str">
        <f t="shared" si="4"/>
        <v>No</v>
      </c>
    </row>
    <row r="26" spans="1:7" x14ac:dyDescent="0.3">
      <c r="A26" s="2">
        <v>45833</v>
      </c>
      <c r="B26">
        <f t="shared" si="0"/>
        <v>2025</v>
      </c>
      <c r="C26">
        <f t="shared" si="1"/>
        <v>6</v>
      </c>
      <c r="D26" t="str">
        <f t="shared" si="2"/>
        <v>June</v>
      </c>
      <c r="E26" t="str">
        <f t="shared" si="5"/>
        <v>Q2</v>
      </c>
      <c r="F26" t="str">
        <f t="shared" si="3"/>
        <v>Wednesday</v>
      </c>
      <c r="G26" t="str">
        <f t="shared" si="4"/>
        <v>No</v>
      </c>
    </row>
    <row r="27" spans="1:7" x14ac:dyDescent="0.3">
      <c r="A27" s="2">
        <v>45834</v>
      </c>
      <c r="B27">
        <f t="shared" si="0"/>
        <v>2025</v>
      </c>
      <c r="C27">
        <f t="shared" si="1"/>
        <v>6</v>
      </c>
      <c r="D27" t="str">
        <f t="shared" si="2"/>
        <v>June</v>
      </c>
      <c r="E27" t="str">
        <f t="shared" si="5"/>
        <v>Q2</v>
      </c>
      <c r="F27" t="str">
        <f t="shared" si="3"/>
        <v>Thursday</v>
      </c>
      <c r="G27" t="str">
        <f t="shared" si="4"/>
        <v>No</v>
      </c>
    </row>
    <row r="28" spans="1:7" x14ac:dyDescent="0.3">
      <c r="A28" s="2">
        <v>45835</v>
      </c>
      <c r="B28">
        <f t="shared" si="0"/>
        <v>2025</v>
      </c>
      <c r="C28">
        <f t="shared" si="1"/>
        <v>6</v>
      </c>
      <c r="D28" t="str">
        <f t="shared" si="2"/>
        <v>June</v>
      </c>
      <c r="E28" t="str">
        <f t="shared" si="5"/>
        <v>Q2</v>
      </c>
      <c r="F28" t="str">
        <f t="shared" si="3"/>
        <v>Friday</v>
      </c>
      <c r="G28" t="str">
        <f t="shared" si="4"/>
        <v>No</v>
      </c>
    </row>
    <row r="29" spans="1:7" x14ac:dyDescent="0.3">
      <c r="A29" s="2">
        <v>45836</v>
      </c>
      <c r="B29">
        <f t="shared" si="0"/>
        <v>2025</v>
      </c>
      <c r="C29">
        <f t="shared" si="1"/>
        <v>6</v>
      </c>
      <c r="D29" t="str">
        <f t="shared" si="2"/>
        <v>June</v>
      </c>
      <c r="E29" t="str">
        <f t="shared" si="5"/>
        <v>Q2</v>
      </c>
      <c r="F29" t="str">
        <f t="shared" si="3"/>
        <v>Saturday</v>
      </c>
      <c r="G29" t="str">
        <f t="shared" si="4"/>
        <v>Yes</v>
      </c>
    </row>
    <row r="30" spans="1:7" x14ac:dyDescent="0.3">
      <c r="A30" s="2">
        <v>45837</v>
      </c>
      <c r="B30">
        <f t="shared" si="0"/>
        <v>2025</v>
      </c>
      <c r="C30">
        <f t="shared" si="1"/>
        <v>6</v>
      </c>
      <c r="D30" t="str">
        <f t="shared" si="2"/>
        <v>June</v>
      </c>
      <c r="E30" t="str">
        <f t="shared" si="5"/>
        <v>Q2</v>
      </c>
      <c r="F30" t="str">
        <f t="shared" si="3"/>
        <v>Sunday</v>
      </c>
      <c r="G30" t="str">
        <f t="shared" si="4"/>
        <v>Yes</v>
      </c>
    </row>
    <row r="31" spans="1:7" x14ac:dyDescent="0.3">
      <c r="A31" s="2">
        <v>45838</v>
      </c>
      <c r="B31">
        <f t="shared" si="0"/>
        <v>2025</v>
      </c>
      <c r="C31">
        <f t="shared" si="1"/>
        <v>6</v>
      </c>
      <c r="D31" t="str">
        <f t="shared" si="2"/>
        <v>June</v>
      </c>
      <c r="E31" t="str">
        <f t="shared" si="5"/>
        <v>Q2</v>
      </c>
      <c r="F31" t="str">
        <f t="shared" si="3"/>
        <v>Monday</v>
      </c>
      <c r="G31" t="str">
        <f t="shared" si="4"/>
        <v>No</v>
      </c>
    </row>
    <row r="32" spans="1:7" x14ac:dyDescent="0.3">
      <c r="A32" s="2">
        <v>45839</v>
      </c>
      <c r="B32">
        <f t="shared" si="0"/>
        <v>2025</v>
      </c>
      <c r="C32">
        <f t="shared" si="1"/>
        <v>7</v>
      </c>
      <c r="D32" t="str">
        <f t="shared" si="2"/>
        <v>July</v>
      </c>
      <c r="E32" t="str">
        <f t="shared" si="5"/>
        <v>Q3</v>
      </c>
      <c r="F32" t="str">
        <f t="shared" si="3"/>
        <v>Tuesday</v>
      </c>
      <c r="G32" t="str">
        <f t="shared" si="4"/>
        <v>No</v>
      </c>
    </row>
    <row r="33" spans="1:7" x14ac:dyDescent="0.3">
      <c r="A33" s="2">
        <v>45840</v>
      </c>
      <c r="B33">
        <f t="shared" si="0"/>
        <v>2025</v>
      </c>
      <c r="C33">
        <f t="shared" si="1"/>
        <v>7</v>
      </c>
      <c r="D33" t="str">
        <f t="shared" si="2"/>
        <v>July</v>
      </c>
      <c r="E33" t="str">
        <f t="shared" si="5"/>
        <v>Q3</v>
      </c>
      <c r="F33" t="str">
        <f t="shared" si="3"/>
        <v>Wednesday</v>
      </c>
      <c r="G33" t="str">
        <f t="shared" si="4"/>
        <v>No</v>
      </c>
    </row>
    <row r="34" spans="1:7" x14ac:dyDescent="0.3">
      <c r="A34" s="2">
        <v>45841</v>
      </c>
      <c r="B34">
        <f t="shared" si="0"/>
        <v>2025</v>
      </c>
      <c r="C34">
        <f t="shared" si="1"/>
        <v>7</v>
      </c>
      <c r="D34" t="str">
        <f t="shared" si="2"/>
        <v>July</v>
      </c>
      <c r="E34" t="str">
        <f t="shared" si="5"/>
        <v>Q3</v>
      </c>
      <c r="F34" t="str">
        <f t="shared" si="3"/>
        <v>Thursday</v>
      </c>
      <c r="G34" t="str">
        <f t="shared" si="4"/>
        <v>No</v>
      </c>
    </row>
    <row r="35" spans="1:7" x14ac:dyDescent="0.3">
      <c r="A35" s="2">
        <v>45842</v>
      </c>
      <c r="B35">
        <f t="shared" si="0"/>
        <v>2025</v>
      </c>
      <c r="C35">
        <f t="shared" si="1"/>
        <v>7</v>
      </c>
      <c r="D35" t="str">
        <f t="shared" si="2"/>
        <v>July</v>
      </c>
      <c r="E35" t="str">
        <f t="shared" si="5"/>
        <v>Q3</v>
      </c>
      <c r="F35" t="str">
        <f t="shared" si="3"/>
        <v>Friday</v>
      </c>
      <c r="G35" t="str">
        <f t="shared" si="4"/>
        <v>No</v>
      </c>
    </row>
    <row r="36" spans="1:7" x14ac:dyDescent="0.3">
      <c r="A36" s="2">
        <v>45843</v>
      </c>
      <c r="B36">
        <f t="shared" si="0"/>
        <v>2025</v>
      </c>
      <c r="C36">
        <f t="shared" si="1"/>
        <v>7</v>
      </c>
      <c r="D36" t="str">
        <f t="shared" si="2"/>
        <v>July</v>
      </c>
      <c r="E36" t="str">
        <f t="shared" si="5"/>
        <v>Q3</v>
      </c>
      <c r="F36" t="str">
        <f t="shared" si="3"/>
        <v>Saturday</v>
      </c>
      <c r="G36" t="str">
        <f t="shared" si="4"/>
        <v>Yes</v>
      </c>
    </row>
    <row r="37" spans="1:7" x14ac:dyDescent="0.3">
      <c r="A37" s="2">
        <v>45844</v>
      </c>
      <c r="B37">
        <f t="shared" si="0"/>
        <v>2025</v>
      </c>
      <c r="C37">
        <f t="shared" si="1"/>
        <v>7</v>
      </c>
      <c r="D37" t="str">
        <f t="shared" si="2"/>
        <v>July</v>
      </c>
      <c r="E37" t="str">
        <f t="shared" si="5"/>
        <v>Q3</v>
      </c>
      <c r="F37" t="str">
        <f t="shared" si="3"/>
        <v>Sunday</v>
      </c>
      <c r="G37" t="str">
        <f t="shared" si="4"/>
        <v>Yes</v>
      </c>
    </row>
    <row r="38" spans="1:7" x14ac:dyDescent="0.3">
      <c r="A38" s="2">
        <v>45845</v>
      </c>
      <c r="B38">
        <f t="shared" si="0"/>
        <v>2025</v>
      </c>
      <c r="C38">
        <f t="shared" si="1"/>
        <v>7</v>
      </c>
      <c r="D38" t="str">
        <f t="shared" si="2"/>
        <v>July</v>
      </c>
      <c r="E38" t="str">
        <f t="shared" si="5"/>
        <v>Q3</v>
      </c>
      <c r="F38" t="str">
        <f t="shared" si="3"/>
        <v>Monday</v>
      </c>
      <c r="G38" t="str">
        <f t="shared" si="4"/>
        <v>No</v>
      </c>
    </row>
    <row r="39" spans="1:7" x14ac:dyDescent="0.3">
      <c r="A39" s="2">
        <v>45846</v>
      </c>
      <c r="B39">
        <f t="shared" si="0"/>
        <v>2025</v>
      </c>
      <c r="C39">
        <f t="shared" si="1"/>
        <v>7</v>
      </c>
      <c r="D39" t="str">
        <f t="shared" si="2"/>
        <v>July</v>
      </c>
      <c r="E39" t="str">
        <f t="shared" si="5"/>
        <v>Q3</v>
      </c>
      <c r="F39" t="str">
        <f t="shared" si="3"/>
        <v>Tuesday</v>
      </c>
      <c r="G39" t="str">
        <f t="shared" si="4"/>
        <v>No</v>
      </c>
    </row>
    <row r="40" spans="1:7" x14ac:dyDescent="0.3">
      <c r="A40" s="2">
        <v>45847</v>
      </c>
      <c r="B40">
        <f t="shared" si="0"/>
        <v>2025</v>
      </c>
      <c r="C40">
        <f t="shared" si="1"/>
        <v>7</v>
      </c>
      <c r="D40" t="str">
        <f t="shared" si="2"/>
        <v>July</v>
      </c>
      <c r="E40" t="str">
        <f t="shared" si="5"/>
        <v>Q3</v>
      </c>
      <c r="F40" t="str">
        <f t="shared" si="3"/>
        <v>Wednesday</v>
      </c>
      <c r="G40" t="str">
        <f t="shared" si="4"/>
        <v>No</v>
      </c>
    </row>
    <row r="41" spans="1:7" x14ac:dyDescent="0.3">
      <c r="A41" s="2">
        <v>45848</v>
      </c>
      <c r="B41">
        <f t="shared" si="0"/>
        <v>2025</v>
      </c>
      <c r="C41">
        <f t="shared" si="1"/>
        <v>7</v>
      </c>
      <c r="D41" t="str">
        <f t="shared" si="2"/>
        <v>July</v>
      </c>
      <c r="E41" t="str">
        <f t="shared" si="5"/>
        <v>Q3</v>
      </c>
      <c r="F41" t="str">
        <f t="shared" si="3"/>
        <v>Thursday</v>
      </c>
      <c r="G41" t="str">
        <f t="shared" si="4"/>
        <v>No</v>
      </c>
    </row>
    <row r="42" spans="1:7" x14ac:dyDescent="0.3">
      <c r="A42" s="2">
        <v>45849</v>
      </c>
      <c r="B42">
        <f t="shared" si="0"/>
        <v>2025</v>
      </c>
      <c r="C42">
        <f t="shared" si="1"/>
        <v>7</v>
      </c>
      <c r="D42" t="str">
        <f t="shared" si="2"/>
        <v>July</v>
      </c>
      <c r="E42" t="str">
        <f t="shared" si="5"/>
        <v>Q3</v>
      </c>
      <c r="F42" t="str">
        <f t="shared" si="3"/>
        <v>Friday</v>
      </c>
      <c r="G42" t="str">
        <f t="shared" si="4"/>
        <v>No</v>
      </c>
    </row>
    <row r="43" spans="1:7" x14ac:dyDescent="0.3">
      <c r="A43" s="2">
        <v>45850</v>
      </c>
      <c r="B43">
        <f t="shared" si="0"/>
        <v>2025</v>
      </c>
      <c r="C43">
        <f t="shared" si="1"/>
        <v>7</v>
      </c>
      <c r="D43" t="str">
        <f t="shared" si="2"/>
        <v>July</v>
      </c>
      <c r="E43" t="str">
        <f t="shared" si="5"/>
        <v>Q3</v>
      </c>
      <c r="F43" t="str">
        <f t="shared" si="3"/>
        <v>Saturday</v>
      </c>
      <c r="G43" t="str">
        <f t="shared" si="4"/>
        <v>Yes</v>
      </c>
    </row>
    <row r="44" spans="1:7" x14ac:dyDescent="0.3">
      <c r="A44" s="2">
        <v>45851</v>
      </c>
      <c r="B44">
        <f t="shared" si="0"/>
        <v>2025</v>
      </c>
      <c r="C44">
        <f t="shared" si="1"/>
        <v>7</v>
      </c>
      <c r="D44" t="str">
        <f t="shared" si="2"/>
        <v>July</v>
      </c>
      <c r="E44" t="str">
        <f t="shared" si="5"/>
        <v>Q3</v>
      </c>
      <c r="F44" t="str">
        <f t="shared" si="3"/>
        <v>Sunday</v>
      </c>
      <c r="G44" t="str">
        <f t="shared" si="4"/>
        <v>Yes</v>
      </c>
    </row>
    <row r="45" spans="1:7" x14ac:dyDescent="0.3">
      <c r="A45" s="2">
        <v>45852</v>
      </c>
      <c r="B45">
        <f t="shared" si="0"/>
        <v>2025</v>
      </c>
      <c r="C45">
        <f t="shared" si="1"/>
        <v>7</v>
      </c>
      <c r="D45" t="str">
        <f t="shared" si="2"/>
        <v>July</v>
      </c>
      <c r="E45" t="str">
        <f t="shared" si="5"/>
        <v>Q3</v>
      </c>
      <c r="F45" t="str">
        <f t="shared" si="3"/>
        <v>Monday</v>
      </c>
      <c r="G45" t="str">
        <f t="shared" si="4"/>
        <v>No</v>
      </c>
    </row>
    <row r="46" spans="1:7" x14ac:dyDescent="0.3">
      <c r="A46" s="2">
        <v>45853</v>
      </c>
      <c r="B46">
        <f t="shared" si="0"/>
        <v>2025</v>
      </c>
      <c r="C46">
        <f t="shared" si="1"/>
        <v>7</v>
      </c>
      <c r="D46" t="str">
        <f t="shared" si="2"/>
        <v>July</v>
      </c>
      <c r="E46" t="str">
        <f t="shared" si="5"/>
        <v>Q3</v>
      </c>
      <c r="F46" t="str">
        <f t="shared" si="3"/>
        <v>Tuesday</v>
      </c>
      <c r="G46" t="str">
        <f t="shared" si="4"/>
        <v>No</v>
      </c>
    </row>
    <row r="47" spans="1:7" x14ac:dyDescent="0.3">
      <c r="A47" s="2">
        <v>45854</v>
      </c>
      <c r="B47">
        <f t="shared" si="0"/>
        <v>2025</v>
      </c>
      <c r="C47">
        <f t="shared" si="1"/>
        <v>7</v>
      </c>
      <c r="D47" t="str">
        <f t="shared" si="2"/>
        <v>July</v>
      </c>
      <c r="E47" t="str">
        <f t="shared" si="5"/>
        <v>Q3</v>
      </c>
      <c r="F47" t="str">
        <f t="shared" si="3"/>
        <v>Wednesday</v>
      </c>
      <c r="G47" t="str">
        <f t="shared" si="4"/>
        <v>No</v>
      </c>
    </row>
    <row r="48" spans="1:7" x14ac:dyDescent="0.3">
      <c r="A48" s="2">
        <v>45855</v>
      </c>
      <c r="B48">
        <f t="shared" si="0"/>
        <v>2025</v>
      </c>
      <c r="C48">
        <f t="shared" si="1"/>
        <v>7</v>
      </c>
      <c r="D48" t="str">
        <f t="shared" si="2"/>
        <v>July</v>
      </c>
      <c r="E48" t="str">
        <f t="shared" si="5"/>
        <v>Q3</v>
      </c>
      <c r="F48" t="str">
        <f t="shared" si="3"/>
        <v>Thursday</v>
      </c>
      <c r="G48" t="str">
        <f t="shared" si="4"/>
        <v>No</v>
      </c>
    </row>
    <row r="49" spans="1:7" x14ac:dyDescent="0.3">
      <c r="A49" s="2">
        <v>45856</v>
      </c>
      <c r="B49">
        <f t="shared" si="0"/>
        <v>2025</v>
      </c>
      <c r="C49">
        <f t="shared" si="1"/>
        <v>7</v>
      </c>
      <c r="D49" t="str">
        <f t="shared" si="2"/>
        <v>July</v>
      </c>
      <c r="E49" t="str">
        <f t="shared" si="5"/>
        <v>Q3</v>
      </c>
      <c r="F49" t="str">
        <f t="shared" si="3"/>
        <v>Friday</v>
      </c>
      <c r="G49" t="str">
        <f t="shared" si="4"/>
        <v>No</v>
      </c>
    </row>
    <row r="50" spans="1:7" x14ac:dyDescent="0.3">
      <c r="A50" s="2">
        <v>45857</v>
      </c>
      <c r="B50">
        <f t="shared" si="0"/>
        <v>2025</v>
      </c>
      <c r="C50">
        <f t="shared" si="1"/>
        <v>7</v>
      </c>
      <c r="D50" t="str">
        <f t="shared" si="2"/>
        <v>July</v>
      </c>
      <c r="E50" t="str">
        <f t="shared" si="5"/>
        <v>Q3</v>
      </c>
      <c r="F50" t="str">
        <f t="shared" si="3"/>
        <v>Saturday</v>
      </c>
      <c r="G50" t="str">
        <f t="shared" si="4"/>
        <v>Yes</v>
      </c>
    </row>
    <row r="51" spans="1:7" x14ac:dyDescent="0.3">
      <c r="A51" s="2">
        <v>45858</v>
      </c>
      <c r="B51">
        <f t="shared" si="0"/>
        <v>2025</v>
      </c>
      <c r="C51">
        <f t="shared" si="1"/>
        <v>7</v>
      </c>
      <c r="D51" t="str">
        <f t="shared" si="2"/>
        <v>July</v>
      </c>
      <c r="E51" t="str">
        <f t="shared" si="5"/>
        <v>Q3</v>
      </c>
      <c r="F51" t="str">
        <f t="shared" si="3"/>
        <v>Sunday</v>
      </c>
      <c r="G51" t="str">
        <f t="shared" si="4"/>
        <v>Yes</v>
      </c>
    </row>
    <row r="52" spans="1:7" x14ac:dyDescent="0.3">
      <c r="A52" s="2">
        <v>45859</v>
      </c>
      <c r="B52">
        <f t="shared" si="0"/>
        <v>2025</v>
      </c>
      <c r="C52">
        <f t="shared" si="1"/>
        <v>7</v>
      </c>
      <c r="D52" t="str">
        <f t="shared" si="2"/>
        <v>July</v>
      </c>
      <c r="E52" t="str">
        <f t="shared" si="5"/>
        <v>Q3</v>
      </c>
      <c r="F52" t="str">
        <f t="shared" si="3"/>
        <v>Monday</v>
      </c>
      <c r="G52" t="str">
        <f t="shared" si="4"/>
        <v>No</v>
      </c>
    </row>
    <row r="53" spans="1:7" x14ac:dyDescent="0.3">
      <c r="A53" s="2">
        <v>45860</v>
      </c>
      <c r="B53">
        <f t="shared" si="0"/>
        <v>2025</v>
      </c>
      <c r="C53">
        <f t="shared" si="1"/>
        <v>7</v>
      </c>
      <c r="D53" t="str">
        <f t="shared" si="2"/>
        <v>July</v>
      </c>
      <c r="E53" t="str">
        <f t="shared" si="5"/>
        <v>Q3</v>
      </c>
      <c r="F53" t="str">
        <f t="shared" si="3"/>
        <v>Tuesday</v>
      </c>
      <c r="G53" t="str">
        <f t="shared" si="4"/>
        <v>No</v>
      </c>
    </row>
    <row r="54" spans="1:7" x14ac:dyDescent="0.3">
      <c r="A54" s="2">
        <v>45861</v>
      </c>
      <c r="B54">
        <f t="shared" si="0"/>
        <v>2025</v>
      </c>
      <c r="C54">
        <f t="shared" si="1"/>
        <v>7</v>
      </c>
      <c r="D54" t="str">
        <f t="shared" si="2"/>
        <v>July</v>
      </c>
      <c r="E54" t="str">
        <f t="shared" si="5"/>
        <v>Q3</v>
      </c>
      <c r="F54" t="str">
        <f t="shared" si="3"/>
        <v>Wednesday</v>
      </c>
      <c r="G54" t="str">
        <f t="shared" si="4"/>
        <v>No</v>
      </c>
    </row>
    <row r="55" spans="1:7" x14ac:dyDescent="0.3">
      <c r="A55" s="2">
        <v>45862</v>
      </c>
      <c r="B55">
        <f t="shared" si="0"/>
        <v>2025</v>
      </c>
      <c r="C55">
        <f t="shared" si="1"/>
        <v>7</v>
      </c>
      <c r="D55" t="str">
        <f t="shared" si="2"/>
        <v>July</v>
      </c>
      <c r="E55" t="str">
        <f t="shared" si="5"/>
        <v>Q3</v>
      </c>
      <c r="F55" t="str">
        <f t="shared" si="3"/>
        <v>Thursday</v>
      </c>
      <c r="G55" t="str">
        <f t="shared" si="4"/>
        <v>No</v>
      </c>
    </row>
    <row r="56" spans="1:7" x14ac:dyDescent="0.3">
      <c r="A56" s="2">
        <v>45863</v>
      </c>
      <c r="B56">
        <f t="shared" si="0"/>
        <v>2025</v>
      </c>
      <c r="C56">
        <f t="shared" si="1"/>
        <v>7</v>
      </c>
      <c r="D56" t="str">
        <f t="shared" si="2"/>
        <v>July</v>
      </c>
      <c r="E56" t="str">
        <f t="shared" si="5"/>
        <v>Q3</v>
      </c>
      <c r="F56" t="str">
        <f t="shared" si="3"/>
        <v>Friday</v>
      </c>
      <c r="G56" t="str">
        <f t="shared" si="4"/>
        <v>No</v>
      </c>
    </row>
    <row r="57" spans="1:7" x14ac:dyDescent="0.3">
      <c r="A57" s="2">
        <v>45864</v>
      </c>
      <c r="B57">
        <f t="shared" si="0"/>
        <v>2025</v>
      </c>
      <c r="C57">
        <f t="shared" si="1"/>
        <v>7</v>
      </c>
      <c r="D57" t="str">
        <f t="shared" si="2"/>
        <v>July</v>
      </c>
      <c r="E57" t="str">
        <f t="shared" si="5"/>
        <v>Q3</v>
      </c>
      <c r="F57" t="str">
        <f t="shared" si="3"/>
        <v>Saturday</v>
      </c>
      <c r="G57" t="str">
        <f t="shared" si="4"/>
        <v>Yes</v>
      </c>
    </row>
    <row r="58" spans="1:7" x14ac:dyDescent="0.3">
      <c r="A58" s="2">
        <v>45865</v>
      </c>
      <c r="B58">
        <f t="shared" si="0"/>
        <v>2025</v>
      </c>
      <c r="C58">
        <f t="shared" si="1"/>
        <v>7</v>
      </c>
      <c r="D58" t="str">
        <f t="shared" si="2"/>
        <v>July</v>
      </c>
      <c r="E58" t="str">
        <f t="shared" si="5"/>
        <v>Q3</v>
      </c>
      <c r="F58" t="str">
        <f t="shared" si="3"/>
        <v>Sunday</v>
      </c>
      <c r="G58" t="str">
        <f t="shared" si="4"/>
        <v>Yes</v>
      </c>
    </row>
    <row r="59" spans="1:7" x14ac:dyDescent="0.3">
      <c r="A59" s="2">
        <v>45866</v>
      </c>
      <c r="B59">
        <f t="shared" si="0"/>
        <v>2025</v>
      </c>
      <c r="C59">
        <f t="shared" si="1"/>
        <v>7</v>
      </c>
      <c r="D59" t="str">
        <f t="shared" si="2"/>
        <v>July</v>
      </c>
      <c r="E59" t="str">
        <f t="shared" si="5"/>
        <v>Q3</v>
      </c>
      <c r="F59" t="str">
        <f t="shared" si="3"/>
        <v>Monday</v>
      </c>
      <c r="G59" t="str">
        <f t="shared" si="4"/>
        <v>No</v>
      </c>
    </row>
    <row r="60" spans="1:7" x14ac:dyDescent="0.3">
      <c r="A60" s="2">
        <v>45867</v>
      </c>
      <c r="B60">
        <f t="shared" si="0"/>
        <v>2025</v>
      </c>
      <c r="C60">
        <f t="shared" si="1"/>
        <v>7</v>
      </c>
      <c r="D60" t="str">
        <f t="shared" si="2"/>
        <v>July</v>
      </c>
      <c r="E60" t="str">
        <f t="shared" si="5"/>
        <v>Q3</v>
      </c>
      <c r="F60" t="str">
        <f t="shared" si="3"/>
        <v>Tuesday</v>
      </c>
      <c r="G60" t="str">
        <f t="shared" si="4"/>
        <v>No</v>
      </c>
    </row>
    <row r="61" spans="1:7" x14ac:dyDescent="0.3">
      <c r="A61" s="2">
        <v>45868</v>
      </c>
      <c r="B61">
        <f t="shared" si="0"/>
        <v>2025</v>
      </c>
      <c r="C61">
        <f t="shared" si="1"/>
        <v>7</v>
      </c>
      <c r="D61" t="str">
        <f t="shared" si="2"/>
        <v>July</v>
      </c>
      <c r="E61" t="str">
        <f t="shared" si="5"/>
        <v>Q3</v>
      </c>
      <c r="F61" t="str">
        <f t="shared" si="3"/>
        <v>Wednesday</v>
      </c>
      <c r="G61" t="str">
        <f t="shared" si="4"/>
        <v>No</v>
      </c>
    </row>
    <row r="62" spans="1:7" x14ac:dyDescent="0.3">
      <c r="A62" s="2">
        <v>45869</v>
      </c>
      <c r="B62">
        <f t="shared" si="0"/>
        <v>2025</v>
      </c>
      <c r="C62">
        <f t="shared" si="1"/>
        <v>7</v>
      </c>
      <c r="D62" t="str">
        <f t="shared" si="2"/>
        <v>July</v>
      </c>
      <c r="E62" t="str">
        <f t="shared" si="5"/>
        <v>Q3</v>
      </c>
      <c r="F62" t="str">
        <f t="shared" si="3"/>
        <v>Thursday</v>
      </c>
      <c r="G62" t="str">
        <f t="shared" si="4"/>
        <v>No</v>
      </c>
    </row>
    <row r="63" spans="1:7" x14ac:dyDescent="0.3">
      <c r="A63" s="2">
        <v>45870</v>
      </c>
      <c r="B63">
        <f t="shared" si="0"/>
        <v>2025</v>
      </c>
      <c r="C63">
        <f t="shared" si="1"/>
        <v>8</v>
      </c>
      <c r="D63" t="str">
        <f t="shared" si="2"/>
        <v>August</v>
      </c>
      <c r="E63" t="str">
        <f t="shared" si="5"/>
        <v>Q3</v>
      </c>
      <c r="F63" t="str">
        <f t="shared" si="3"/>
        <v>Friday</v>
      </c>
      <c r="G63" t="str">
        <f t="shared" si="4"/>
        <v>No</v>
      </c>
    </row>
    <row r="64" spans="1:7" x14ac:dyDescent="0.3">
      <c r="A64" s="2">
        <v>45871</v>
      </c>
      <c r="B64">
        <f t="shared" si="0"/>
        <v>2025</v>
      </c>
      <c r="C64">
        <f t="shared" si="1"/>
        <v>8</v>
      </c>
      <c r="D64" t="str">
        <f t="shared" si="2"/>
        <v>August</v>
      </c>
      <c r="E64" t="str">
        <f t="shared" si="5"/>
        <v>Q3</v>
      </c>
      <c r="F64" t="str">
        <f t="shared" si="3"/>
        <v>Saturday</v>
      </c>
      <c r="G64" t="str">
        <f t="shared" si="4"/>
        <v>Yes</v>
      </c>
    </row>
    <row r="65" spans="1:7" x14ac:dyDescent="0.3">
      <c r="A65" s="2">
        <v>45872</v>
      </c>
      <c r="B65">
        <f t="shared" si="0"/>
        <v>2025</v>
      </c>
      <c r="C65">
        <f t="shared" si="1"/>
        <v>8</v>
      </c>
      <c r="D65" t="str">
        <f t="shared" si="2"/>
        <v>August</v>
      </c>
      <c r="E65" t="str">
        <f t="shared" si="5"/>
        <v>Q3</v>
      </c>
      <c r="F65" t="str">
        <f t="shared" si="3"/>
        <v>Sunday</v>
      </c>
      <c r="G65" t="str">
        <f t="shared" si="4"/>
        <v>Yes</v>
      </c>
    </row>
    <row r="66" spans="1:7" x14ac:dyDescent="0.3">
      <c r="A66" s="2">
        <v>45873</v>
      </c>
      <c r="B66">
        <f t="shared" si="0"/>
        <v>2025</v>
      </c>
      <c r="C66">
        <f t="shared" si="1"/>
        <v>8</v>
      </c>
      <c r="D66" t="str">
        <f t="shared" si="2"/>
        <v>August</v>
      </c>
      <c r="E66" t="str">
        <f t="shared" si="5"/>
        <v>Q3</v>
      </c>
      <c r="F66" t="str">
        <f t="shared" si="3"/>
        <v>Monday</v>
      </c>
      <c r="G66" t="str">
        <f t="shared" si="4"/>
        <v>No</v>
      </c>
    </row>
    <row r="67" spans="1:7" x14ac:dyDescent="0.3">
      <c r="A67" s="2">
        <v>45874</v>
      </c>
      <c r="B67">
        <f t="shared" ref="B67:B130" si="6" xml:space="preserve"> YEAR(A67)</f>
        <v>2025</v>
      </c>
      <c r="C67">
        <f t="shared" ref="C67:C130" si="7">MONTH(A67)</f>
        <v>8</v>
      </c>
      <c r="D67" t="str">
        <f t="shared" ref="D67:D130" si="8">TEXT(A67,"mmmm")</f>
        <v>August</v>
      </c>
      <c r="E67" t="str">
        <f t="shared" si="5"/>
        <v>Q3</v>
      </c>
      <c r="F67" t="str">
        <f t="shared" ref="F67:F130" si="9">TEXT(A67,"dddd")</f>
        <v>Tuesday</v>
      </c>
      <c r="G67" t="str">
        <f t="shared" ref="G67:G130" si="10">IF(OR(WEEKDAY(A67)=1,WEEKDAY(A67)=7),"Yes","No")</f>
        <v>No</v>
      </c>
    </row>
    <row r="68" spans="1:7" x14ac:dyDescent="0.3">
      <c r="A68" s="2">
        <v>45875</v>
      </c>
      <c r="B68">
        <f t="shared" si="6"/>
        <v>2025</v>
      </c>
      <c r="C68">
        <f t="shared" si="7"/>
        <v>8</v>
      </c>
      <c r="D68" t="str">
        <f t="shared" si="8"/>
        <v>August</v>
      </c>
      <c r="E68" t="str">
        <f t="shared" ref="E68:E131" si="11">"Q"&amp;ROUNDUP(MONTH(A68)/3,0)</f>
        <v>Q3</v>
      </c>
      <c r="F68" t="str">
        <f t="shared" si="9"/>
        <v>Wednesday</v>
      </c>
      <c r="G68" t="str">
        <f t="shared" si="10"/>
        <v>No</v>
      </c>
    </row>
    <row r="69" spans="1:7" x14ac:dyDescent="0.3">
      <c r="A69" s="2">
        <v>45876</v>
      </c>
      <c r="B69">
        <f t="shared" si="6"/>
        <v>2025</v>
      </c>
      <c r="C69">
        <f t="shared" si="7"/>
        <v>8</v>
      </c>
      <c r="D69" t="str">
        <f t="shared" si="8"/>
        <v>August</v>
      </c>
      <c r="E69" t="str">
        <f t="shared" si="11"/>
        <v>Q3</v>
      </c>
      <c r="F69" t="str">
        <f t="shared" si="9"/>
        <v>Thursday</v>
      </c>
      <c r="G69" t="str">
        <f t="shared" si="10"/>
        <v>No</v>
      </c>
    </row>
    <row r="70" spans="1:7" x14ac:dyDescent="0.3">
      <c r="A70" s="2">
        <v>45877</v>
      </c>
      <c r="B70">
        <f t="shared" si="6"/>
        <v>2025</v>
      </c>
      <c r="C70">
        <f t="shared" si="7"/>
        <v>8</v>
      </c>
      <c r="D70" t="str">
        <f t="shared" si="8"/>
        <v>August</v>
      </c>
      <c r="E70" t="str">
        <f t="shared" si="11"/>
        <v>Q3</v>
      </c>
      <c r="F70" t="str">
        <f t="shared" si="9"/>
        <v>Friday</v>
      </c>
      <c r="G70" t="str">
        <f t="shared" si="10"/>
        <v>No</v>
      </c>
    </row>
    <row r="71" spans="1:7" x14ac:dyDescent="0.3">
      <c r="A71" s="2">
        <v>45878</v>
      </c>
      <c r="B71">
        <f t="shared" si="6"/>
        <v>2025</v>
      </c>
      <c r="C71">
        <f t="shared" si="7"/>
        <v>8</v>
      </c>
      <c r="D71" t="str">
        <f t="shared" si="8"/>
        <v>August</v>
      </c>
      <c r="E71" t="str">
        <f t="shared" si="11"/>
        <v>Q3</v>
      </c>
      <c r="F71" t="str">
        <f t="shared" si="9"/>
        <v>Saturday</v>
      </c>
      <c r="G71" t="str">
        <f t="shared" si="10"/>
        <v>Yes</v>
      </c>
    </row>
    <row r="72" spans="1:7" x14ac:dyDescent="0.3">
      <c r="A72" s="2">
        <v>45879</v>
      </c>
      <c r="B72">
        <f t="shared" si="6"/>
        <v>2025</v>
      </c>
      <c r="C72">
        <f t="shared" si="7"/>
        <v>8</v>
      </c>
      <c r="D72" t="str">
        <f t="shared" si="8"/>
        <v>August</v>
      </c>
      <c r="E72" t="str">
        <f t="shared" si="11"/>
        <v>Q3</v>
      </c>
      <c r="F72" t="str">
        <f t="shared" si="9"/>
        <v>Sunday</v>
      </c>
      <c r="G72" t="str">
        <f t="shared" si="10"/>
        <v>Yes</v>
      </c>
    </row>
    <row r="73" spans="1:7" x14ac:dyDescent="0.3">
      <c r="A73" s="2">
        <v>45880</v>
      </c>
      <c r="B73">
        <f t="shared" si="6"/>
        <v>2025</v>
      </c>
      <c r="C73">
        <f t="shared" si="7"/>
        <v>8</v>
      </c>
      <c r="D73" t="str">
        <f t="shared" si="8"/>
        <v>August</v>
      </c>
      <c r="E73" t="str">
        <f t="shared" si="11"/>
        <v>Q3</v>
      </c>
      <c r="F73" t="str">
        <f t="shared" si="9"/>
        <v>Monday</v>
      </c>
      <c r="G73" t="str">
        <f t="shared" si="10"/>
        <v>No</v>
      </c>
    </row>
    <row r="74" spans="1:7" x14ac:dyDescent="0.3">
      <c r="A74" s="2">
        <v>45881</v>
      </c>
      <c r="B74">
        <f t="shared" si="6"/>
        <v>2025</v>
      </c>
      <c r="C74">
        <f t="shared" si="7"/>
        <v>8</v>
      </c>
      <c r="D74" t="str">
        <f t="shared" si="8"/>
        <v>August</v>
      </c>
      <c r="E74" t="str">
        <f t="shared" si="11"/>
        <v>Q3</v>
      </c>
      <c r="F74" t="str">
        <f t="shared" si="9"/>
        <v>Tuesday</v>
      </c>
      <c r="G74" t="str">
        <f t="shared" si="10"/>
        <v>No</v>
      </c>
    </row>
    <row r="75" spans="1:7" x14ac:dyDescent="0.3">
      <c r="A75" s="2">
        <v>45882</v>
      </c>
      <c r="B75">
        <f t="shared" si="6"/>
        <v>2025</v>
      </c>
      <c r="C75">
        <f t="shared" si="7"/>
        <v>8</v>
      </c>
      <c r="D75" t="str">
        <f t="shared" si="8"/>
        <v>August</v>
      </c>
      <c r="E75" t="str">
        <f t="shared" si="11"/>
        <v>Q3</v>
      </c>
      <c r="F75" t="str">
        <f t="shared" si="9"/>
        <v>Wednesday</v>
      </c>
      <c r="G75" t="str">
        <f t="shared" si="10"/>
        <v>No</v>
      </c>
    </row>
    <row r="76" spans="1:7" x14ac:dyDescent="0.3">
      <c r="A76" s="2">
        <v>45883</v>
      </c>
      <c r="B76">
        <f t="shared" si="6"/>
        <v>2025</v>
      </c>
      <c r="C76">
        <f t="shared" si="7"/>
        <v>8</v>
      </c>
      <c r="D76" t="str">
        <f t="shared" si="8"/>
        <v>August</v>
      </c>
      <c r="E76" t="str">
        <f t="shared" si="11"/>
        <v>Q3</v>
      </c>
      <c r="F76" t="str">
        <f t="shared" si="9"/>
        <v>Thursday</v>
      </c>
      <c r="G76" t="str">
        <f t="shared" si="10"/>
        <v>No</v>
      </c>
    </row>
    <row r="77" spans="1:7" x14ac:dyDescent="0.3">
      <c r="A77" s="2">
        <v>45884</v>
      </c>
      <c r="B77">
        <f t="shared" si="6"/>
        <v>2025</v>
      </c>
      <c r="C77">
        <f t="shared" si="7"/>
        <v>8</v>
      </c>
      <c r="D77" t="str">
        <f t="shared" si="8"/>
        <v>August</v>
      </c>
      <c r="E77" t="str">
        <f t="shared" si="11"/>
        <v>Q3</v>
      </c>
      <c r="F77" t="str">
        <f t="shared" si="9"/>
        <v>Friday</v>
      </c>
      <c r="G77" t="str">
        <f t="shared" si="10"/>
        <v>No</v>
      </c>
    </row>
    <row r="78" spans="1:7" x14ac:dyDescent="0.3">
      <c r="A78" s="2">
        <v>45885</v>
      </c>
      <c r="B78">
        <f t="shared" si="6"/>
        <v>2025</v>
      </c>
      <c r="C78">
        <f t="shared" si="7"/>
        <v>8</v>
      </c>
      <c r="D78" t="str">
        <f t="shared" si="8"/>
        <v>August</v>
      </c>
      <c r="E78" t="str">
        <f t="shared" si="11"/>
        <v>Q3</v>
      </c>
      <c r="F78" t="str">
        <f t="shared" si="9"/>
        <v>Saturday</v>
      </c>
      <c r="G78" t="str">
        <f t="shared" si="10"/>
        <v>Yes</v>
      </c>
    </row>
    <row r="79" spans="1:7" x14ac:dyDescent="0.3">
      <c r="A79" s="2">
        <v>45886</v>
      </c>
      <c r="B79">
        <f t="shared" si="6"/>
        <v>2025</v>
      </c>
      <c r="C79">
        <f t="shared" si="7"/>
        <v>8</v>
      </c>
      <c r="D79" t="str">
        <f t="shared" si="8"/>
        <v>August</v>
      </c>
      <c r="E79" t="str">
        <f t="shared" si="11"/>
        <v>Q3</v>
      </c>
      <c r="F79" t="str">
        <f t="shared" si="9"/>
        <v>Sunday</v>
      </c>
      <c r="G79" t="str">
        <f t="shared" si="10"/>
        <v>Yes</v>
      </c>
    </row>
    <row r="80" spans="1:7" x14ac:dyDescent="0.3">
      <c r="A80" s="2">
        <v>45887</v>
      </c>
      <c r="B80">
        <f t="shared" si="6"/>
        <v>2025</v>
      </c>
      <c r="C80">
        <f t="shared" si="7"/>
        <v>8</v>
      </c>
      <c r="D80" t="str">
        <f t="shared" si="8"/>
        <v>August</v>
      </c>
      <c r="E80" t="str">
        <f t="shared" si="11"/>
        <v>Q3</v>
      </c>
      <c r="F80" t="str">
        <f t="shared" si="9"/>
        <v>Monday</v>
      </c>
      <c r="G80" t="str">
        <f t="shared" si="10"/>
        <v>No</v>
      </c>
    </row>
    <row r="81" spans="1:7" x14ac:dyDescent="0.3">
      <c r="A81" s="2">
        <v>45888</v>
      </c>
      <c r="B81">
        <f t="shared" si="6"/>
        <v>2025</v>
      </c>
      <c r="C81">
        <f t="shared" si="7"/>
        <v>8</v>
      </c>
      <c r="D81" t="str">
        <f t="shared" si="8"/>
        <v>August</v>
      </c>
      <c r="E81" t="str">
        <f t="shared" si="11"/>
        <v>Q3</v>
      </c>
      <c r="F81" t="str">
        <f t="shared" si="9"/>
        <v>Tuesday</v>
      </c>
      <c r="G81" t="str">
        <f t="shared" si="10"/>
        <v>No</v>
      </c>
    </row>
    <row r="82" spans="1:7" x14ac:dyDescent="0.3">
      <c r="A82" s="2">
        <v>45889</v>
      </c>
      <c r="B82">
        <f t="shared" si="6"/>
        <v>2025</v>
      </c>
      <c r="C82">
        <f t="shared" si="7"/>
        <v>8</v>
      </c>
      <c r="D82" t="str">
        <f t="shared" si="8"/>
        <v>August</v>
      </c>
      <c r="E82" t="str">
        <f t="shared" si="11"/>
        <v>Q3</v>
      </c>
      <c r="F82" t="str">
        <f t="shared" si="9"/>
        <v>Wednesday</v>
      </c>
      <c r="G82" t="str">
        <f t="shared" si="10"/>
        <v>No</v>
      </c>
    </row>
    <row r="83" spans="1:7" x14ac:dyDescent="0.3">
      <c r="A83" s="2">
        <v>45890</v>
      </c>
      <c r="B83">
        <f t="shared" si="6"/>
        <v>2025</v>
      </c>
      <c r="C83">
        <f t="shared" si="7"/>
        <v>8</v>
      </c>
      <c r="D83" t="str">
        <f t="shared" si="8"/>
        <v>August</v>
      </c>
      <c r="E83" t="str">
        <f t="shared" si="11"/>
        <v>Q3</v>
      </c>
      <c r="F83" t="str">
        <f t="shared" si="9"/>
        <v>Thursday</v>
      </c>
      <c r="G83" t="str">
        <f t="shared" si="10"/>
        <v>No</v>
      </c>
    </row>
    <row r="84" spans="1:7" x14ac:dyDescent="0.3">
      <c r="A84" s="2">
        <v>45891</v>
      </c>
      <c r="B84">
        <f t="shared" si="6"/>
        <v>2025</v>
      </c>
      <c r="C84">
        <f t="shared" si="7"/>
        <v>8</v>
      </c>
      <c r="D84" t="str">
        <f t="shared" si="8"/>
        <v>August</v>
      </c>
      <c r="E84" t="str">
        <f t="shared" si="11"/>
        <v>Q3</v>
      </c>
      <c r="F84" t="str">
        <f t="shared" si="9"/>
        <v>Friday</v>
      </c>
      <c r="G84" t="str">
        <f t="shared" si="10"/>
        <v>No</v>
      </c>
    </row>
    <row r="85" spans="1:7" x14ac:dyDescent="0.3">
      <c r="A85" s="2">
        <v>45892</v>
      </c>
      <c r="B85">
        <f t="shared" si="6"/>
        <v>2025</v>
      </c>
      <c r="C85">
        <f t="shared" si="7"/>
        <v>8</v>
      </c>
      <c r="D85" t="str">
        <f t="shared" si="8"/>
        <v>August</v>
      </c>
      <c r="E85" t="str">
        <f t="shared" si="11"/>
        <v>Q3</v>
      </c>
      <c r="F85" t="str">
        <f t="shared" si="9"/>
        <v>Saturday</v>
      </c>
      <c r="G85" t="str">
        <f t="shared" si="10"/>
        <v>Yes</v>
      </c>
    </row>
    <row r="86" spans="1:7" x14ac:dyDescent="0.3">
      <c r="A86" s="2">
        <v>45893</v>
      </c>
      <c r="B86">
        <f t="shared" si="6"/>
        <v>2025</v>
      </c>
      <c r="C86">
        <f t="shared" si="7"/>
        <v>8</v>
      </c>
      <c r="D86" t="str">
        <f t="shared" si="8"/>
        <v>August</v>
      </c>
      <c r="E86" t="str">
        <f t="shared" si="11"/>
        <v>Q3</v>
      </c>
      <c r="F86" t="str">
        <f t="shared" si="9"/>
        <v>Sunday</v>
      </c>
      <c r="G86" t="str">
        <f t="shared" si="10"/>
        <v>Yes</v>
      </c>
    </row>
    <row r="87" spans="1:7" x14ac:dyDescent="0.3">
      <c r="A87" s="2">
        <v>45894</v>
      </c>
      <c r="B87">
        <f t="shared" si="6"/>
        <v>2025</v>
      </c>
      <c r="C87">
        <f t="shared" si="7"/>
        <v>8</v>
      </c>
      <c r="D87" t="str">
        <f t="shared" si="8"/>
        <v>August</v>
      </c>
      <c r="E87" t="str">
        <f t="shared" si="11"/>
        <v>Q3</v>
      </c>
      <c r="F87" t="str">
        <f t="shared" si="9"/>
        <v>Monday</v>
      </c>
      <c r="G87" t="str">
        <f t="shared" si="10"/>
        <v>No</v>
      </c>
    </row>
    <row r="88" spans="1:7" x14ac:dyDescent="0.3">
      <c r="A88" s="2">
        <v>45895</v>
      </c>
      <c r="B88">
        <f t="shared" si="6"/>
        <v>2025</v>
      </c>
      <c r="C88">
        <f t="shared" si="7"/>
        <v>8</v>
      </c>
      <c r="D88" t="str">
        <f t="shared" si="8"/>
        <v>August</v>
      </c>
      <c r="E88" t="str">
        <f t="shared" si="11"/>
        <v>Q3</v>
      </c>
      <c r="F88" t="str">
        <f t="shared" si="9"/>
        <v>Tuesday</v>
      </c>
      <c r="G88" t="str">
        <f t="shared" si="10"/>
        <v>No</v>
      </c>
    </row>
    <row r="89" spans="1:7" x14ac:dyDescent="0.3">
      <c r="A89" s="2">
        <v>45896</v>
      </c>
      <c r="B89">
        <f t="shared" si="6"/>
        <v>2025</v>
      </c>
      <c r="C89">
        <f t="shared" si="7"/>
        <v>8</v>
      </c>
      <c r="D89" t="str">
        <f t="shared" si="8"/>
        <v>August</v>
      </c>
      <c r="E89" t="str">
        <f t="shared" si="11"/>
        <v>Q3</v>
      </c>
      <c r="F89" t="str">
        <f t="shared" si="9"/>
        <v>Wednesday</v>
      </c>
      <c r="G89" t="str">
        <f t="shared" si="10"/>
        <v>No</v>
      </c>
    </row>
    <row r="90" spans="1:7" x14ac:dyDescent="0.3">
      <c r="A90" s="2">
        <v>45897</v>
      </c>
      <c r="B90">
        <f t="shared" si="6"/>
        <v>2025</v>
      </c>
      <c r="C90">
        <f t="shared" si="7"/>
        <v>8</v>
      </c>
      <c r="D90" t="str">
        <f t="shared" si="8"/>
        <v>August</v>
      </c>
      <c r="E90" t="str">
        <f t="shared" si="11"/>
        <v>Q3</v>
      </c>
      <c r="F90" t="str">
        <f t="shared" si="9"/>
        <v>Thursday</v>
      </c>
      <c r="G90" t="str">
        <f t="shared" si="10"/>
        <v>No</v>
      </c>
    </row>
    <row r="91" spans="1:7" x14ac:dyDescent="0.3">
      <c r="A91" s="2">
        <v>45898</v>
      </c>
      <c r="B91">
        <f t="shared" si="6"/>
        <v>2025</v>
      </c>
      <c r="C91">
        <f t="shared" si="7"/>
        <v>8</v>
      </c>
      <c r="D91" t="str">
        <f t="shared" si="8"/>
        <v>August</v>
      </c>
      <c r="E91" t="str">
        <f t="shared" si="11"/>
        <v>Q3</v>
      </c>
      <c r="F91" t="str">
        <f t="shared" si="9"/>
        <v>Friday</v>
      </c>
      <c r="G91" t="str">
        <f t="shared" si="10"/>
        <v>No</v>
      </c>
    </row>
    <row r="92" spans="1:7" x14ac:dyDescent="0.3">
      <c r="A92" s="2">
        <v>45899</v>
      </c>
      <c r="B92">
        <f t="shared" si="6"/>
        <v>2025</v>
      </c>
      <c r="C92">
        <f t="shared" si="7"/>
        <v>8</v>
      </c>
      <c r="D92" t="str">
        <f t="shared" si="8"/>
        <v>August</v>
      </c>
      <c r="E92" t="str">
        <f t="shared" si="11"/>
        <v>Q3</v>
      </c>
      <c r="F92" t="str">
        <f t="shared" si="9"/>
        <v>Saturday</v>
      </c>
      <c r="G92" t="str">
        <f t="shared" si="10"/>
        <v>Yes</v>
      </c>
    </row>
    <row r="93" spans="1:7" x14ac:dyDescent="0.3">
      <c r="A93" s="2">
        <v>45900</v>
      </c>
      <c r="B93">
        <f t="shared" si="6"/>
        <v>2025</v>
      </c>
      <c r="C93">
        <f t="shared" si="7"/>
        <v>8</v>
      </c>
      <c r="D93" t="str">
        <f t="shared" si="8"/>
        <v>August</v>
      </c>
      <c r="E93" t="str">
        <f t="shared" si="11"/>
        <v>Q3</v>
      </c>
      <c r="F93" t="str">
        <f t="shared" si="9"/>
        <v>Sunday</v>
      </c>
      <c r="G93" t="str">
        <f t="shared" si="10"/>
        <v>Yes</v>
      </c>
    </row>
    <row r="94" spans="1:7" x14ac:dyDescent="0.3">
      <c r="A94" s="2">
        <v>45901</v>
      </c>
      <c r="B94">
        <f t="shared" si="6"/>
        <v>2025</v>
      </c>
      <c r="C94">
        <f t="shared" si="7"/>
        <v>9</v>
      </c>
      <c r="D94" t="str">
        <f t="shared" si="8"/>
        <v>September</v>
      </c>
      <c r="E94" t="str">
        <f t="shared" si="11"/>
        <v>Q3</v>
      </c>
      <c r="F94" t="str">
        <f t="shared" si="9"/>
        <v>Monday</v>
      </c>
      <c r="G94" t="str">
        <f t="shared" si="10"/>
        <v>No</v>
      </c>
    </row>
    <row r="95" spans="1:7" x14ac:dyDescent="0.3">
      <c r="A95" s="2">
        <v>45902</v>
      </c>
      <c r="B95">
        <f t="shared" si="6"/>
        <v>2025</v>
      </c>
      <c r="C95">
        <f t="shared" si="7"/>
        <v>9</v>
      </c>
      <c r="D95" t="str">
        <f t="shared" si="8"/>
        <v>September</v>
      </c>
      <c r="E95" t="str">
        <f t="shared" si="11"/>
        <v>Q3</v>
      </c>
      <c r="F95" t="str">
        <f t="shared" si="9"/>
        <v>Tuesday</v>
      </c>
      <c r="G95" t="str">
        <f t="shared" si="10"/>
        <v>No</v>
      </c>
    </row>
    <row r="96" spans="1:7" x14ac:dyDescent="0.3">
      <c r="A96" s="2">
        <v>45903</v>
      </c>
      <c r="B96">
        <f t="shared" si="6"/>
        <v>2025</v>
      </c>
      <c r="C96">
        <f t="shared" si="7"/>
        <v>9</v>
      </c>
      <c r="D96" t="str">
        <f t="shared" si="8"/>
        <v>September</v>
      </c>
      <c r="E96" t="str">
        <f t="shared" si="11"/>
        <v>Q3</v>
      </c>
      <c r="F96" t="str">
        <f t="shared" si="9"/>
        <v>Wednesday</v>
      </c>
      <c r="G96" t="str">
        <f t="shared" si="10"/>
        <v>No</v>
      </c>
    </row>
    <row r="97" spans="1:7" x14ac:dyDescent="0.3">
      <c r="A97" s="2">
        <v>45904</v>
      </c>
      <c r="B97">
        <f t="shared" si="6"/>
        <v>2025</v>
      </c>
      <c r="C97">
        <f t="shared" si="7"/>
        <v>9</v>
      </c>
      <c r="D97" t="str">
        <f t="shared" si="8"/>
        <v>September</v>
      </c>
      <c r="E97" t="str">
        <f t="shared" si="11"/>
        <v>Q3</v>
      </c>
      <c r="F97" t="str">
        <f t="shared" si="9"/>
        <v>Thursday</v>
      </c>
      <c r="G97" t="str">
        <f t="shared" si="10"/>
        <v>No</v>
      </c>
    </row>
    <row r="98" spans="1:7" x14ac:dyDescent="0.3">
      <c r="A98" s="2">
        <v>45905</v>
      </c>
      <c r="B98">
        <f t="shared" si="6"/>
        <v>2025</v>
      </c>
      <c r="C98">
        <f t="shared" si="7"/>
        <v>9</v>
      </c>
      <c r="D98" t="str">
        <f t="shared" si="8"/>
        <v>September</v>
      </c>
      <c r="E98" t="str">
        <f t="shared" si="11"/>
        <v>Q3</v>
      </c>
      <c r="F98" t="str">
        <f t="shared" si="9"/>
        <v>Friday</v>
      </c>
      <c r="G98" t="str">
        <f t="shared" si="10"/>
        <v>No</v>
      </c>
    </row>
    <row r="99" spans="1:7" x14ac:dyDescent="0.3">
      <c r="A99" s="2">
        <v>45906</v>
      </c>
      <c r="B99">
        <f t="shared" si="6"/>
        <v>2025</v>
      </c>
      <c r="C99">
        <f t="shared" si="7"/>
        <v>9</v>
      </c>
      <c r="D99" t="str">
        <f t="shared" si="8"/>
        <v>September</v>
      </c>
      <c r="E99" t="str">
        <f t="shared" si="11"/>
        <v>Q3</v>
      </c>
      <c r="F99" t="str">
        <f t="shared" si="9"/>
        <v>Saturday</v>
      </c>
      <c r="G99" t="str">
        <f t="shared" si="10"/>
        <v>Yes</v>
      </c>
    </row>
    <row r="100" spans="1:7" x14ac:dyDescent="0.3">
      <c r="A100" s="2">
        <v>45907</v>
      </c>
      <c r="B100">
        <f t="shared" si="6"/>
        <v>2025</v>
      </c>
      <c r="C100">
        <f t="shared" si="7"/>
        <v>9</v>
      </c>
      <c r="D100" t="str">
        <f t="shared" si="8"/>
        <v>September</v>
      </c>
      <c r="E100" t="str">
        <f t="shared" si="11"/>
        <v>Q3</v>
      </c>
      <c r="F100" t="str">
        <f t="shared" si="9"/>
        <v>Sunday</v>
      </c>
      <c r="G100" t="str">
        <f t="shared" si="10"/>
        <v>Yes</v>
      </c>
    </row>
    <row r="101" spans="1:7" x14ac:dyDescent="0.3">
      <c r="A101" s="2">
        <v>45908</v>
      </c>
      <c r="B101">
        <f t="shared" si="6"/>
        <v>2025</v>
      </c>
      <c r="C101">
        <f t="shared" si="7"/>
        <v>9</v>
      </c>
      <c r="D101" t="str">
        <f t="shared" si="8"/>
        <v>September</v>
      </c>
      <c r="E101" t="str">
        <f t="shared" si="11"/>
        <v>Q3</v>
      </c>
      <c r="F101" t="str">
        <f t="shared" si="9"/>
        <v>Monday</v>
      </c>
      <c r="G101" t="str">
        <f t="shared" si="10"/>
        <v>No</v>
      </c>
    </row>
    <row r="102" spans="1:7" x14ac:dyDescent="0.3">
      <c r="A102" s="2">
        <v>45909</v>
      </c>
      <c r="B102">
        <f t="shared" si="6"/>
        <v>2025</v>
      </c>
      <c r="C102">
        <f t="shared" si="7"/>
        <v>9</v>
      </c>
      <c r="D102" t="str">
        <f t="shared" si="8"/>
        <v>September</v>
      </c>
      <c r="E102" t="str">
        <f t="shared" si="11"/>
        <v>Q3</v>
      </c>
      <c r="F102" t="str">
        <f t="shared" si="9"/>
        <v>Tuesday</v>
      </c>
      <c r="G102" t="str">
        <f t="shared" si="10"/>
        <v>No</v>
      </c>
    </row>
    <row r="103" spans="1:7" x14ac:dyDescent="0.3">
      <c r="A103" s="2">
        <v>45910</v>
      </c>
      <c r="B103">
        <f t="shared" si="6"/>
        <v>2025</v>
      </c>
      <c r="C103">
        <f t="shared" si="7"/>
        <v>9</v>
      </c>
      <c r="D103" t="str">
        <f t="shared" si="8"/>
        <v>September</v>
      </c>
      <c r="E103" t="str">
        <f t="shared" si="11"/>
        <v>Q3</v>
      </c>
      <c r="F103" t="str">
        <f t="shared" si="9"/>
        <v>Wednesday</v>
      </c>
      <c r="G103" t="str">
        <f t="shared" si="10"/>
        <v>No</v>
      </c>
    </row>
    <row r="104" spans="1:7" x14ac:dyDescent="0.3">
      <c r="A104" s="2">
        <v>45911</v>
      </c>
      <c r="B104">
        <f t="shared" si="6"/>
        <v>2025</v>
      </c>
      <c r="C104">
        <f t="shared" si="7"/>
        <v>9</v>
      </c>
      <c r="D104" t="str">
        <f t="shared" si="8"/>
        <v>September</v>
      </c>
      <c r="E104" t="str">
        <f t="shared" si="11"/>
        <v>Q3</v>
      </c>
      <c r="F104" t="str">
        <f t="shared" si="9"/>
        <v>Thursday</v>
      </c>
      <c r="G104" t="str">
        <f t="shared" si="10"/>
        <v>No</v>
      </c>
    </row>
    <row r="105" spans="1:7" x14ac:dyDescent="0.3">
      <c r="A105" s="2">
        <v>45912</v>
      </c>
      <c r="B105">
        <f t="shared" si="6"/>
        <v>2025</v>
      </c>
      <c r="C105">
        <f t="shared" si="7"/>
        <v>9</v>
      </c>
      <c r="D105" t="str">
        <f t="shared" si="8"/>
        <v>September</v>
      </c>
      <c r="E105" t="str">
        <f t="shared" si="11"/>
        <v>Q3</v>
      </c>
      <c r="F105" t="str">
        <f t="shared" si="9"/>
        <v>Friday</v>
      </c>
      <c r="G105" t="str">
        <f t="shared" si="10"/>
        <v>No</v>
      </c>
    </row>
    <row r="106" spans="1:7" x14ac:dyDescent="0.3">
      <c r="A106" s="2">
        <v>45913</v>
      </c>
      <c r="B106">
        <f t="shared" si="6"/>
        <v>2025</v>
      </c>
      <c r="C106">
        <f t="shared" si="7"/>
        <v>9</v>
      </c>
      <c r="D106" t="str">
        <f t="shared" si="8"/>
        <v>September</v>
      </c>
      <c r="E106" t="str">
        <f t="shared" si="11"/>
        <v>Q3</v>
      </c>
      <c r="F106" t="str">
        <f t="shared" si="9"/>
        <v>Saturday</v>
      </c>
      <c r="G106" t="str">
        <f t="shared" si="10"/>
        <v>Yes</v>
      </c>
    </row>
    <row r="107" spans="1:7" x14ac:dyDescent="0.3">
      <c r="A107" s="2">
        <v>45914</v>
      </c>
      <c r="B107">
        <f t="shared" si="6"/>
        <v>2025</v>
      </c>
      <c r="C107">
        <f t="shared" si="7"/>
        <v>9</v>
      </c>
      <c r="D107" t="str">
        <f t="shared" si="8"/>
        <v>September</v>
      </c>
      <c r="E107" t="str">
        <f t="shared" si="11"/>
        <v>Q3</v>
      </c>
      <c r="F107" t="str">
        <f t="shared" si="9"/>
        <v>Sunday</v>
      </c>
      <c r="G107" t="str">
        <f t="shared" si="10"/>
        <v>Yes</v>
      </c>
    </row>
    <row r="108" spans="1:7" x14ac:dyDescent="0.3">
      <c r="A108" s="2">
        <v>45915</v>
      </c>
      <c r="B108">
        <f t="shared" si="6"/>
        <v>2025</v>
      </c>
      <c r="C108">
        <f t="shared" si="7"/>
        <v>9</v>
      </c>
      <c r="D108" t="str">
        <f t="shared" si="8"/>
        <v>September</v>
      </c>
      <c r="E108" t="str">
        <f t="shared" si="11"/>
        <v>Q3</v>
      </c>
      <c r="F108" t="str">
        <f t="shared" si="9"/>
        <v>Monday</v>
      </c>
      <c r="G108" t="str">
        <f t="shared" si="10"/>
        <v>No</v>
      </c>
    </row>
    <row r="109" spans="1:7" x14ac:dyDescent="0.3">
      <c r="A109" s="2">
        <v>45916</v>
      </c>
      <c r="B109">
        <f t="shared" si="6"/>
        <v>2025</v>
      </c>
      <c r="C109">
        <f t="shared" si="7"/>
        <v>9</v>
      </c>
      <c r="D109" t="str">
        <f t="shared" si="8"/>
        <v>September</v>
      </c>
      <c r="E109" t="str">
        <f t="shared" si="11"/>
        <v>Q3</v>
      </c>
      <c r="F109" t="str">
        <f t="shared" si="9"/>
        <v>Tuesday</v>
      </c>
      <c r="G109" t="str">
        <f t="shared" si="10"/>
        <v>No</v>
      </c>
    </row>
    <row r="110" spans="1:7" x14ac:dyDescent="0.3">
      <c r="A110" s="2">
        <v>45917</v>
      </c>
      <c r="B110">
        <f t="shared" si="6"/>
        <v>2025</v>
      </c>
      <c r="C110">
        <f t="shared" si="7"/>
        <v>9</v>
      </c>
      <c r="D110" t="str">
        <f t="shared" si="8"/>
        <v>September</v>
      </c>
      <c r="E110" t="str">
        <f t="shared" si="11"/>
        <v>Q3</v>
      </c>
      <c r="F110" t="str">
        <f t="shared" si="9"/>
        <v>Wednesday</v>
      </c>
      <c r="G110" t="str">
        <f t="shared" si="10"/>
        <v>No</v>
      </c>
    </row>
    <row r="111" spans="1:7" x14ac:dyDescent="0.3">
      <c r="A111" s="2">
        <v>45918</v>
      </c>
      <c r="B111">
        <f t="shared" si="6"/>
        <v>2025</v>
      </c>
      <c r="C111">
        <f t="shared" si="7"/>
        <v>9</v>
      </c>
      <c r="D111" t="str">
        <f t="shared" si="8"/>
        <v>September</v>
      </c>
      <c r="E111" t="str">
        <f t="shared" si="11"/>
        <v>Q3</v>
      </c>
      <c r="F111" t="str">
        <f t="shared" si="9"/>
        <v>Thursday</v>
      </c>
      <c r="G111" t="str">
        <f t="shared" si="10"/>
        <v>No</v>
      </c>
    </row>
    <row r="112" spans="1:7" x14ac:dyDescent="0.3">
      <c r="A112" s="2">
        <v>45919</v>
      </c>
      <c r="B112">
        <f t="shared" si="6"/>
        <v>2025</v>
      </c>
      <c r="C112">
        <f t="shared" si="7"/>
        <v>9</v>
      </c>
      <c r="D112" t="str">
        <f t="shared" si="8"/>
        <v>September</v>
      </c>
      <c r="E112" t="str">
        <f t="shared" si="11"/>
        <v>Q3</v>
      </c>
      <c r="F112" t="str">
        <f t="shared" si="9"/>
        <v>Friday</v>
      </c>
      <c r="G112" t="str">
        <f t="shared" si="10"/>
        <v>No</v>
      </c>
    </row>
    <row r="113" spans="1:7" x14ac:dyDescent="0.3">
      <c r="A113" s="2">
        <v>45920</v>
      </c>
      <c r="B113">
        <f t="shared" si="6"/>
        <v>2025</v>
      </c>
      <c r="C113">
        <f t="shared" si="7"/>
        <v>9</v>
      </c>
      <c r="D113" t="str">
        <f t="shared" si="8"/>
        <v>September</v>
      </c>
      <c r="E113" t="str">
        <f t="shared" si="11"/>
        <v>Q3</v>
      </c>
      <c r="F113" t="str">
        <f t="shared" si="9"/>
        <v>Saturday</v>
      </c>
      <c r="G113" t="str">
        <f t="shared" si="10"/>
        <v>Yes</v>
      </c>
    </row>
    <row r="114" spans="1:7" x14ac:dyDescent="0.3">
      <c r="A114" s="2">
        <v>45921</v>
      </c>
      <c r="B114">
        <f t="shared" si="6"/>
        <v>2025</v>
      </c>
      <c r="C114">
        <f t="shared" si="7"/>
        <v>9</v>
      </c>
      <c r="D114" t="str">
        <f t="shared" si="8"/>
        <v>September</v>
      </c>
      <c r="E114" t="str">
        <f t="shared" si="11"/>
        <v>Q3</v>
      </c>
      <c r="F114" t="str">
        <f t="shared" si="9"/>
        <v>Sunday</v>
      </c>
      <c r="G114" t="str">
        <f t="shared" si="10"/>
        <v>Yes</v>
      </c>
    </row>
    <row r="115" spans="1:7" x14ac:dyDescent="0.3">
      <c r="A115" s="2">
        <v>45922</v>
      </c>
      <c r="B115">
        <f t="shared" si="6"/>
        <v>2025</v>
      </c>
      <c r="C115">
        <f t="shared" si="7"/>
        <v>9</v>
      </c>
      <c r="D115" t="str">
        <f t="shared" si="8"/>
        <v>September</v>
      </c>
      <c r="E115" t="str">
        <f t="shared" si="11"/>
        <v>Q3</v>
      </c>
      <c r="F115" t="str">
        <f t="shared" si="9"/>
        <v>Monday</v>
      </c>
      <c r="G115" t="str">
        <f t="shared" si="10"/>
        <v>No</v>
      </c>
    </row>
    <row r="116" spans="1:7" x14ac:dyDescent="0.3">
      <c r="A116" s="2">
        <v>45923</v>
      </c>
      <c r="B116">
        <f t="shared" si="6"/>
        <v>2025</v>
      </c>
      <c r="C116">
        <f t="shared" si="7"/>
        <v>9</v>
      </c>
      <c r="D116" t="str">
        <f t="shared" si="8"/>
        <v>September</v>
      </c>
      <c r="E116" t="str">
        <f t="shared" si="11"/>
        <v>Q3</v>
      </c>
      <c r="F116" t="str">
        <f t="shared" si="9"/>
        <v>Tuesday</v>
      </c>
      <c r="G116" t="str">
        <f t="shared" si="10"/>
        <v>No</v>
      </c>
    </row>
    <row r="117" spans="1:7" x14ac:dyDescent="0.3">
      <c r="A117" s="2">
        <v>45924</v>
      </c>
      <c r="B117">
        <f t="shared" si="6"/>
        <v>2025</v>
      </c>
      <c r="C117">
        <f t="shared" si="7"/>
        <v>9</v>
      </c>
      <c r="D117" t="str">
        <f t="shared" si="8"/>
        <v>September</v>
      </c>
      <c r="E117" t="str">
        <f t="shared" si="11"/>
        <v>Q3</v>
      </c>
      <c r="F117" t="str">
        <f t="shared" si="9"/>
        <v>Wednesday</v>
      </c>
      <c r="G117" t="str">
        <f t="shared" si="10"/>
        <v>No</v>
      </c>
    </row>
    <row r="118" spans="1:7" x14ac:dyDescent="0.3">
      <c r="A118" s="2">
        <v>45925</v>
      </c>
      <c r="B118">
        <f t="shared" si="6"/>
        <v>2025</v>
      </c>
      <c r="C118">
        <f t="shared" si="7"/>
        <v>9</v>
      </c>
      <c r="D118" t="str">
        <f t="shared" si="8"/>
        <v>September</v>
      </c>
      <c r="E118" t="str">
        <f t="shared" si="11"/>
        <v>Q3</v>
      </c>
      <c r="F118" t="str">
        <f t="shared" si="9"/>
        <v>Thursday</v>
      </c>
      <c r="G118" t="str">
        <f t="shared" si="10"/>
        <v>No</v>
      </c>
    </row>
    <row r="119" spans="1:7" x14ac:dyDescent="0.3">
      <c r="A119" s="2">
        <v>45926</v>
      </c>
      <c r="B119">
        <f t="shared" si="6"/>
        <v>2025</v>
      </c>
      <c r="C119">
        <f t="shared" si="7"/>
        <v>9</v>
      </c>
      <c r="D119" t="str">
        <f t="shared" si="8"/>
        <v>September</v>
      </c>
      <c r="E119" t="str">
        <f t="shared" si="11"/>
        <v>Q3</v>
      </c>
      <c r="F119" t="str">
        <f t="shared" si="9"/>
        <v>Friday</v>
      </c>
      <c r="G119" t="str">
        <f t="shared" si="10"/>
        <v>No</v>
      </c>
    </row>
    <row r="120" spans="1:7" x14ac:dyDescent="0.3">
      <c r="A120" s="2">
        <v>45927</v>
      </c>
      <c r="B120">
        <f t="shared" si="6"/>
        <v>2025</v>
      </c>
      <c r="C120">
        <f t="shared" si="7"/>
        <v>9</v>
      </c>
      <c r="D120" t="str">
        <f t="shared" si="8"/>
        <v>September</v>
      </c>
      <c r="E120" t="str">
        <f t="shared" si="11"/>
        <v>Q3</v>
      </c>
      <c r="F120" t="str">
        <f t="shared" si="9"/>
        <v>Saturday</v>
      </c>
      <c r="G120" t="str">
        <f t="shared" si="10"/>
        <v>Yes</v>
      </c>
    </row>
    <row r="121" spans="1:7" x14ac:dyDescent="0.3">
      <c r="A121" s="2">
        <v>45928</v>
      </c>
      <c r="B121">
        <f t="shared" si="6"/>
        <v>2025</v>
      </c>
      <c r="C121">
        <f t="shared" si="7"/>
        <v>9</v>
      </c>
      <c r="D121" t="str">
        <f t="shared" si="8"/>
        <v>September</v>
      </c>
      <c r="E121" t="str">
        <f t="shared" si="11"/>
        <v>Q3</v>
      </c>
      <c r="F121" t="str">
        <f t="shared" si="9"/>
        <v>Sunday</v>
      </c>
      <c r="G121" t="str">
        <f t="shared" si="10"/>
        <v>Yes</v>
      </c>
    </row>
    <row r="122" spans="1:7" x14ac:dyDescent="0.3">
      <c r="A122" s="2">
        <v>45929</v>
      </c>
      <c r="B122">
        <f t="shared" si="6"/>
        <v>2025</v>
      </c>
      <c r="C122">
        <f t="shared" si="7"/>
        <v>9</v>
      </c>
      <c r="D122" t="str">
        <f t="shared" si="8"/>
        <v>September</v>
      </c>
      <c r="E122" t="str">
        <f t="shared" si="11"/>
        <v>Q3</v>
      </c>
      <c r="F122" t="str">
        <f t="shared" si="9"/>
        <v>Monday</v>
      </c>
      <c r="G122" t="str">
        <f t="shared" si="10"/>
        <v>No</v>
      </c>
    </row>
    <row r="123" spans="1:7" x14ac:dyDescent="0.3">
      <c r="A123" s="2">
        <v>45930</v>
      </c>
      <c r="B123">
        <f t="shared" si="6"/>
        <v>2025</v>
      </c>
      <c r="C123">
        <f t="shared" si="7"/>
        <v>9</v>
      </c>
      <c r="D123" t="str">
        <f t="shared" si="8"/>
        <v>September</v>
      </c>
      <c r="E123" t="str">
        <f t="shared" si="11"/>
        <v>Q3</v>
      </c>
      <c r="F123" t="str">
        <f t="shared" si="9"/>
        <v>Tuesday</v>
      </c>
      <c r="G123" t="str">
        <f t="shared" si="10"/>
        <v>No</v>
      </c>
    </row>
    <row r="124" spans="1:7" x14ac:dyDescent="0.3">
      <c r="A124" s="2">
        <v>45931</v>
      </c>
      <c r="B124">
        <f t="shared" si="6"/>
        <v>2025</v>
      </c>
      <c r="C124">
        <f t="shared" si="7"/>
        <v>10</v>
      </c>
      <c r="D124" t="str">
        <f t="shared" si="8"/>
        <v>October</v>
      </c>
      <c r="E124" t="str">
        <f t="shared" si="11"/>
        <v>Q4</v>
      </c>
      <c r="F124" t="str">
        <f t="shared" si="9"/>
        <v>Wednesday</v>
      </c>
      <c r="G124" t="str">
        <f t="shared" si="10"/>
        <v>No</v>
      </c>
    </row>
    <row r="125" spans="1:7" x14ac:dyDescent="0.3">
      <c r="A125" s="2">
        <v>45932</v>
      </c>
      <c r="B125">
        <f t="shared" si="6"/>
        <v>2025</v>
      </c>
      <c r="C125">
        <f t="shared" si="7"/>
        <v>10</v>
      </c>
      <c r="D125" t="str">
        <f t="shared" si="8"/>
        <v>October</v>
      </c>
      <c r="E125" t="str">
        <f t="shared" si="11"/>
        <v>Q4</v>
      </c>
      <c r="F125" t="str">
        <f t="shared" si="9"/>
        <v>Thursday</v>
      </c>
      <c r="G125" t="str">
        <f t="shared" si="10"/>
        <v>No</v>
      </c>
    </row>
    <row r="126" spans="1:7" x14ac:dyDescent="0.3">
      <c r="A126" s="2">
        <v>45933</v>
      </c>
      <c r="B126">
        <f t="shared" si="6"/>
        <v>2025</v>
      </c>
      <c r="C126">
        <f t="shared" si="7"/>
        <v>10</v>
      </c>
      <c r="D126" t="str">
        <f t="shared" si="8"/>
        <v>October</v>
      </c>
      <c r="E126" t="str">
        <f t="shared" si="11"/>
        <v>Q4</v>
      </c>
      <c r="F126" t="str">
        <f t="shared" si="9"/>
        <v>Friday</v>
      </c>
      <c r="G126" t="str">
        <f t="shared" si="10"/>
        <v>No</v>
      </c>
    </row>
    <row r="127" spans="1:7" x14ac:dyDescent="0.3">
      <c r="A127" s="2">
        <v>45934</v>
      </c>
      <c r="B127">
        <f t="shared" si="6"/>
        <v>2025</v>
      </c>
      <c r="C127">
        <f t="shared" si="7"/>
        <v>10</v>
      </c>
      <c r="D127" t="str">
        <f t="shared" si="8"/>
        <v>October</v>
      </c>
      <c r="E127" t="str">
        <f t="shared" si="11"/>
        <v>Q4</v>
      </c>
      <c r="F127" t="str">
        <f t="shared" si="9"/>
        <v>Saturday</v>
      </c>
      <c r="G127" t="str">
        <f t="shared" si="10"/>
        <v>Yes</v>
      </c>
    </row>
    <row r="128" spans="1:7" x14ac:dyDescent="0.3">
      <c r="A128" s="2">
        <v>45935</v>
      </c>
      <c r="B128">
        <f t="shared" si="6"/>
        <v>2025</v>
      </c>
      <c r="C128">
        <f t="shared" si="7"/>
        <v>10</v>
      </c>
      <c r="D128" t="str">
        <f t="shared" si="8"/>
        <v>October</v>
      </c>
      <c r="E128" t="str">
        <f t="shared" si="11"/>
        <v>Q4</v>
      </c>
      <c r="F128" t="str">
        <f t="shared" si="9"/>
        <v>Sunday</v>
      </c>
      <c r="G128" t="str">
        <f t="shared" si="10"/>
        <v>Yes</v>
      </c>
    </row>
    <row r="129" spans="1:7" x14ac:dyDescent="0.3">
      <c r="A129" s="2">
        <v>45936</v>
      </c>
      <c r="B129">
        <f t="shared" si="6"/>
        <v>2025</v>
      </c>
      <c r="C129">
        <f t="shared" si="7"/>
        <v>10</v>
      </c>
      <c r="D129" t="str">
        <f t="shared" si="8"/>
        <v>October</v>
      </c>
      <c r="E129" t="str">
        <f t="shared" si="11"/>
        <v>Q4</v>
      </c>
      <c r="F129" t="str">
        <f t="shared" si="9"/>
        <v>Monday</v>
      </c>
      <c r="G129" t="str">
        <f t="shared" si="10"/>
        <v>No</v>
      </c>
    </row>
    <row r="130" spans="1:7" x14ac:dyDescent="0.3">
      <c r="A130" s="2">
        <v>45937</v>
      </c>
      <c r="B130">
        <f t="shared" si="6"/>
        <v>2025</v>
      </c>
      <c r="C130">
        <f t="shared" si="7"/>
        <v>10</v>
      </c>
      <c r="D130" t="str">
        <f t="shared" si="8"/>
        <v>October</v>
      </c>
      <c r="E130" t="str">
        <f t="shared" si="11"/>
        <v>Q4</v>
      </c>
      <c r="F130" t="str">
        <f t="shared" si="9"/>
        <v>Tuesday</v>
      </c>
      <c r="G130" t="str">
        <f t="shared" si="10"/>
        <v>No</v>
      </c>
    </row>
    <row r="131" spans="1:7" x14ac:dyDescent="0.3">
      <c r="A131" s="2">
        <v>45938</v>
      </c>
      <c r="B131">
        <f t="shared" ref="B131:B194" si="12" xml:space="preserve"> YEAR(A131)</f>
        <v>2025</v>
      </c>
      <c r="C131">
        <f t="shared" ref="C131:C194" si="13">MONTH(A131)</f>
        <v>10</v>
      </c>
      <c r="D131" t="str">
        <f t="shared" ref="D131:D194" si="14">TEXT(A131,"mmmm")</f>
        <v>October</v>
      </c>
      <c r="E131" t="str">
        <f t="shared" si="11"/>
        <v>Q4</v>
      </c>
      <c r="F131" t="str">
        <f t="shared" ref="F131:F194" si="15">TEXT(A131,"dddd")</f>
        <v>Wednesday</v>
      </c>
      <c r="G131" t="str">
        <f t="shared" ref="G131:G194" si="16">IF(OR(WEEKDAY(A131)=1,WEEKDAY(A131)=7),"Yes","No")</f>
        <v>No</v>
      </c>
    </row>
    <row r="132" spans="1:7" x14ac:dyDescent="0.3">
      <c r="A132" s="2">
        <v>45939</v>
      </c>
      <c r="B132">
        <f t="shared" si="12"/>
        <v>2025</v>
      </c>
      <c r="C132">
        <f t="shared" si="13"/>
        <v>10</v>
      </c>
      <c r="D132" t="str">
        <f t="shared" si="14"/>
        <v>October</v>
      </c>
      <c r="E132" t="str">
        <f t="shared" ref="E132:E195" si="17">"Q"&amp;ROUNDUP(MONTH(A132)/3,0)</f>
        <v>Q4</v>
      </c>
      <c r="F132" t="str">
        <f t="shared" si="15"/>
        <v>Thursday</v>
      </c>
      <c r="G132" t="str">
        <f t="shared" si="16"/>
        <v>No</v>
      </c>
    </row>
    <row r="133" spans="1:7" x14ac:dyDescent="0.3">
      <c r="A133" s="2">
        <v>45940</v>
      </c>
      <c r="B133">
        <f t="shared" si="12"/>
        <v>2025</v>
      </c>
      <c r="C133">
        <f t="shared" si="13"/>
        <v>10</v>
      </c>
      <c r="D133" t="str">
        <f t="shared" si="14"/>
        <v>October</v>
      </c>
      <c r="E133" t="str">
        <f t="shared" si="17"/>
        <v>Q4</v>
      </c>
      <c r="F133" t="str">
        <f t="shared" si="15"/>
        <v>Friday</v>
      </c>
      <c r="G133" t="str">
        <f t="shared" si="16"/>
        <v>No</v>
      </c>
    </row>
    <row r="134" spans="1:7" x14ac:dyDescent="0.3">
      <c r="A134" s="2">
        <v>45941</v>
      </c>
      <c r="B134">
        <f t="shared" si="12"/>
        <v>2025</v>
      </c>
      <c r="C134">
        <f t="shared" si="13"/>
        <v>10</v>
      </c>
      <c r="D134" t="str">
        <f t="shared" si="14"/>
        <v>October</v>
      </c>
      <c r="E134" t="str">
        <f t="shared" si="17"/>
        <v>Q4</v>
      </c>
      <c r="F134" t="str">
        <f t="shared" si="15"/>
        <v>Saturday</v>
      </c>
      <c r="G134" t="str">
        <f t="shared" si="16"/>
        <v>Yes</v>
      </c>
    </row>
    <row r="135" spans="1:7" x14ac:dyDescent="0.3">
      <c r="A135" s="2">
        <v>45942</v>
      </c>
      <c r="B135">
        <f t="shared" si="12"/>
        <v>2025</v>
      </c>
      <c r="C135">
        <f t="shared" si="13"/>
        <v>10</v>
      </c>
      <c r="D135" t="str">
        <f t="shared" si="14"/>
        <v>October</v>
      </c>
      <c r="E135" t="str">
        <f t="shared" si="17"/>
        <v>Q4</v>
      </c>
      <c r="F135" t="str">
        <f t="shared" si="15"/>
        <v>Sunday</v>
      </c>
      <c r="G135" t="str">
        <f t="shared" si="16"/>
        <v>Yes</v>
      </c>
    </row>
    <row r="136" spans="1:7" x14ac:dyDescent="0.3">
      <c r="A136" s="2">
        <v>45943</v>
      </c>
      <c r="B136">
        <f t="shared" si="12"/>
        <v>2025</v>
      </c>
      <c r="C136">
        <f t="shared" si="13"/>
        <v>10</v>
      </c>
      <c r="D136" t="str">
        <f t="shared" si="14"/>
        <v>October</v>
      </c>
      <c r="E136" t="str">
        <f t="shared" si="17"/>
        <v>Q4</v>
      </c>
      <c r="F136" t="str">
        <f t="shared" si="15"/>
        <v>Monday</v>
      </c>
      <c r="G136" t="str">
        <f t="shared" si="16"/>
        <v>No</v>
      </c>
    </row>
    <row r="137" spans="1:7" x14ac:dyDescent="0.3">
      <c r="A137" s="2">
        <v>45944</v>
      </c>
      <c r="B137">
        <f t="shared" si="12"/>
        <v>2025</v>
      </c>
      <c r="C137">
        <f t="shared" si="13"/>
        <v>10</v>
      </c>
      <c r="D137" t="str">
        <f t="shared" si="14"/>
        <v>October</v>
      </c>
      <c r="E137" t="str">
        <f t="shared" si="17"/>
        <v>Q4</v>
      </c>
      <c r="F137" t="str">
        <f t="shared" si="15"/>
        <v>Tuesday</v>
      </c>
      <c r="G137" t="str">
        <f t="shared" si="16"/>
        <v>No</v>
      </c>
    </row>
    <row r="138" spans="1:7" x14ac:dyDescent="0.3">
      <c r="A138" s="2">
        <v>45945</v>
      </c>
      <c r="B138">
        <f t="shared" si="12"/>
        <v>2025</v>
      </c>
      <c r="C138">
        <f t="shared" si="13"/>
        <v>10</v>
      </c>
      <c r="D138" t="str">
        <f t="shared" si="14"/>
        <v>October</v>
      </c>
      <c r="E138" t="str">
        <f t="shared" si="17"/>
        <v>Q4</v>
      </c>
      <c r="F138" t="str">
        <f t="shared" si="15"/>
        <v>Wednesday</v>
      </c>
      <c r="G138" t="str">
        <f t="shared" si="16"/>
        <v>No</v>
      </c>
    </row>
    <row r="139" spans="1:7" x14ac:dyDescent="0.3">
      <c r="A139" s="2">
        <v>45946</v>
      </c>
      <c r="B139">
        <f t="shared" si="12"/>
        <v>2025</v>
      </c>
      <c r="C139">
        <f t="shared" si="13"/>
        <v>10</v>
      </c>
      <c r="D139" t="str">
        <f t="shared" si="14"/>
        <v>October</v>
      </c>
      <c r="E139" t="str">
        <f t="shared" si="17"/>
        <v>Q4</v>
      </c>
      <c r="F139" t="str">
        <f t="shared" si="15"/>
        <v>Thursday</v>
      </c>
      <c r="G139" t="str">
        <f t="shared" si="16"/>
        <v>No</v>
      </c>
    </row>
    <row r="140" spans="1:7" x14ac:dyDescent="0.3">
      <c r="A140" s="2">
        <v>45947</v>
      </c>
      <c r="B140">
        <f t="shared" si="12"/>
        <v>2025</v>
      </c>
      <c r="C140">
        <f t="shared" si="13"/>
        <v>10</v>
      </c>
      <c r="D140" t="str">
        <f t="shared" si="14"/>
        <v>October</v>
      </c>
      <c r="E140" t="str">
        <f t="shared" si="17"/>
        <v>Q4</v>
      </c>
      <c r="F140" t="str">
        <f t="shared" si="15"/>
        <v>Friday</v>
      </c>
      <c r="G140" t="str">
        <f t="shared" si="16"/>
        <v>No</v>
      </c>
    </row>
    <row r="141" spans="1:7" x14ac:dyDescent="0.3">
      <c r="A141" s="2">
        <v>45948</v>
      </c>
      <c r="B141">
        <f t="shared" si="12"/>
        <v>2025</v>
      </c>
      <c r="C141">
        <f t="shared" si="13"/>
        <v>10</v>
      </c>
      <c r="D141" t="str">
        <f t="shared" si="14"/>
        <v>October</v>
      </c>
      <c r="E141" t="str">
        <f t="shared" si="17"/>
        <v>Q4</v>
      </c>
      <c r="F141" t="str">
        <f t="shared" si="15"/>
        <v>Saturday</v>
      </c>
      <c r="G141" t="str">
        <f t="shared" si="16"/>
        <v>Yes</v>
      </c>
    </row>
    <row r="142" spans="1:7" x14ac:dyDescent="0.3">
      <c r="A142" s="2">
        <v>45949</v>
      </c>
      <c r="B142">
        <f t="shared" si="12"/>
        <v>2025</v>
      </c>
      <c r="C142">
        <f t="shared" si="13"/>
        <v>10</v>
      </c>
      <c r="D142" t="str">
        <f t="shared" si="14"/>
        <v>October</v>
      </c>
      <c r="E142" t="str">
        <f t="shared" si="17"/>
        <v>Q4</v>
      </c>
      <c r="F142" t="str">
        <f t="shared" si="15"/>
        <v>Sunday</v>
      </c>
      <c r="G142" t="str">
        <f t="shared" si="16"/>
        <v>Yes</v>
      </c>
    </row>
    <row r="143" spans="1:7" x14ac:dyDescent="0.3">
      <c r="A143" s="2">
        <v>45950</v>
      </c>
      <c r="B143">
        <f t="shared" si="12"/>
        <v>2025</v>
      </c>
      <c r="C143">
        <f t="shared" si="13"/>
        <v>10</v>
      </c>
      <c r="D143" t="str">
        <f t="shared" si="14"/>
        <v>October</v>
      </c>
      <c r="E143" t="str">
        <f t="shared" si="17"/>
        <v>Q4</v>
      </c>
      <c r="F143" t="str">
        <f t="shared" si="15"/>
        <v>Monday</v>
      </c>
      <c r="G143" t="str">
        <f t="shared" si="16"/>
        <v>No</v>
      </c>
    </row>
    <row r="144" spans="1:7" x14ac:dyDescent="0.3">
      <c r="A144" s="2">
        <v>45951</v>
      </c>
      <c r="B144">
        <f t="shared" si="12"/>
        <v>2025</v>
      </c>
      <c r="C144">
        <f t="shared" si="13"/>
        <v>10</v>
      </c>
      <c r="D144" t="str">
        <f t="shared" si="14"/>
        <v>October</v>
      </c>
      <c r="E144" t="str">
        <f t="shared" si="17"/>
        <v>Q4</v>
      </c>
      <c r="F144" t="str">
        <f t="shared" si="15"/>
        <v>Tuesday</v>
      </c>
      <c r="G144" t="str">
        <f t="shared" si="16"/>
        <v>No</v>
      </c>
    </row>
    <row r="145" spans="1:7" x14ac:dyDescent="0.3">
      <c r="A145" s="2">
        <v>45952</v>
      </c>
      <c r="B145">
        <f t="shared" si="12"/>
        <v>2025</v>
      </c>
      <c r="C145">
        <f t="shared" si="13"/>
        <v>10</v>
      </c>
      <c r="D145" t="str">
        <f t="shared" si="14"/>
        <v>October</v>
      </c>
      <c r="E145" t="str">
        <f t="shared" si="17"/>
        <v>Q4</v>
      </c>
      <c r="F145" t="str">
        <f t="shared" si="15"/>
        <v>Wednesday</v>
      </c>
      <c r="G145" t="str">
        <f t="shared" si="16"/>
        <v>No</v>
      </c>
    </row>
    <row r="146" spans="1:7" x14ac:dyDescent="0.3">
      <c r="A146" s="2">
        <v>45953</v>
      </c>
      <c r="B146">
        <f t="shared" si="12"/>
        <v>2025</v>
      </c>
      <c r="C146">
        <f t="shared" si="13"/>
        <v>10</v>
      </c>
      <c r="D146" t="str">
        <f t="shared" si="14"/>
        <v>October</v>
      </c>
      <c r="E146" t="str">
        <f t="shared" si="17"/>
        <v>Q4</v>
      </c>
      <c r="F146" t="str">
        <f t="shared" si="15"/>
        <v>Thursday</v>
      </c>
      <c r="G146" t="str">
        <f t="shared" si="16"/>
        <v>No</v>
      </c>
    </row>
    <row r="147" spans="1:7" x14ac:dyDescent="0.3">
      <c r="A147" s="2">
        <v>45954</v>
      </c>
      <c r="B147">
        <f t="shared" si="12"/>
        <v>2025</v>
      </c>
      <c r="C147">
        <f t="shared" si="13"/>
        <v>10</v>
      </c>
      <c r="D147" t="str">
        <f t="shared" si="14"/>
        <v>October</v>
      </c>
      <c r="E147" t="str">
        <f t="shared" si="17"/>
        <v>Q4</v>
      </c>
      <c r="F147" t="str">
        <f t="shared" si="15"/>
        <v>Friday</v>
      </c>
      <c r="G147" t="str">
        <f t="shared" si="16"/>
        <v>No</v>
      </c>
    </row>
    <row r="148" spans="1:7" x14ac:dyDescent="0.3">
      <c r="A148" s="2">
        <v>45955</v>
      </c>
      <c r="B148">
        <f t="shared" si="12"/>
        <v>2025</v>
      </c>
      <c r="C148">
        <f t="shared" si="13"/>
        <v>10</v>
      </c>
      <c r="D148" t="str">
        <f t="shared" si="14"/>
        <v>October</v>
      </c>
      <c r="E148" t="str">
        <f t="shared" si="17"/>
        <v>Q4</v>
      </c>
      <c r="F148" t="str">
        <f t="shared" si="15"/>
        <v>Saturday</v>
      </c>
      <c r="G148" t="str">
        <f t="shared" si="16"/>
        <v>Yes</v>
      </c>
    </row>
    <row r="149" spans="1:7" x14ac:dyDescent="0.3">
      <c r="A149" s="2">
        <v>45956</v>
      </c>
      <c r="B149">
        <f t="shared" si="12"/>
        <v>2025</v>
      </c>
      <c r="C149">
        <f t="shared" si="13"/>
        <v>10</v>
      </c>
      <c r="D149" t="str">
        <f t="shared" si="14"/>
        <v>October</v>
      </c>
      <c r="E149" t="str">
        <f t="shared" si="17"/>
        <v>Q4</v>
      </c>
      <c r="F149" t="str">
        <f t="shared" si="15"/>
        <v>Sunday</v>
      </c>
      <c r="G149" t="str">
        <f t="shared" si="16"/>
        <v>Yes</v>
      </c>
    </row>
    <row r="150" spans="1:7" x14ac:dyDescent="0.3">
      <c r="A150" s="2">
        <v>45957</v>
      </c>
      <c r="B150">
        <f t="shared" si="12"/>
        <v>2025</v>
      </c>
      <c r="C150">
        <f t="shared" si="13"/>
        <v>10</v>
      </c>
      <c r="D150" t="str">
        <f t="shared" si="14"/>
        <v>October</v>
      </c>
      <c r="E150" t="str">
        <f t="shared" si="17"/>
        <v>Q4</v>
      </c>
      <c r="F150" t="str">
        <f t="shared" si="15"/>
        <v>Monday</v>
      </c>
      <c r="G150" t="str">
        <f t="shared" si="16"/>
        <v>No</v>
      </c>
    </row>
    <row r="151" spans="1:7" x14ac:dyDescent="0.3">
      <c r="A151" s="2">
        <v>45958</v>
      </c>
      <c r="B151">
        <f t="shared" si="12"/>
        <v>2025</v>
      </c>
      <c r="C151">
        <f t="shared" si="13"/>
        <v>10</v>
      </c>
      <c r="D151" t="str">
        <f t="shared" si="14"/>
        <v>October</v>
      </c>
      <c r="E151" t="str">
        <f t="shared" si="17"/>
        <v>Q4</v>
      </c>
      <c r="F151" t="str">
        <f t="shared" si="15"/>
        <v>Tuesday</v>
      </c>
      <c r="G151" t="str">
        <f t="shared" si="16"/>
        <v>No</v>
      </c>
    </row>
    <row r="152" spans="1:7" x14ac:dyDescent="0.3">
      <c r="A152" s="2">
        <v>45959</v>
      </c>
      <c r="B152">
        <f t="shared" si="12"/>
        <v>2025</v>
      </c>
      <c r="C152">
        <f t="shared" si="13"/>
        <v>10</v>
      </c>
      <c r="D152" t="str">
        <f t="shared" si="14"/>
        <v>October</v>
      </c>
      <c r="E152" t="str">
        <f t="shared" si="17"/>
        <v>Q4</v>
      </c>
      <c r="F152" t="str">
        <f t="shared" si="15"/>
        <v>Wednesday</v>
      </c>
      <c r="G152" t="str">
        <f t="shared" si="16"/>
        <v>No</v>
      </c>
    </row>
    <row r="153" spans="1:7" x14ac:dyDescent="0.3">
      <c r="A153" s="2">
        <v>45960</v>
      </c>
      <c r="B153">
        <f t="shared" si="12"/>
        <v>2025</v>
      </c>
      <c r="C153">
        <f t="shared" si="13"/>
        <v>10</v>
      </c>
      <c r="D153" t="str">
        <f t="shared" si="14"/>
        <v>October</v>
      </c>
      <c r="E153" t="str">
        <f t="shared" si="17"/>
        <v>Q4</v>
      </c>
      <c r="F153" t="str">
        <f t="shared" si="15"/>
        <v>Thursday</v>
      </c>
      <c r="G153" t="str">
        <f t="shared" si="16"/>
        <v>No</v>
      </c>
    </row>
    <row r="154" spans="1:7" x14ac:dyDescent="0.3">
      <c r="A154" s="2">
        <v>45961</v>
      </c>
      <c r="B154">
        <f t="shared" si="12"/>
        <v>2025</v>
      </c>
      <c r="C154">
        <f t="shared" si="13"/>
        <v>10</v>
      </c>
      <c r="D154" t="str">
        <f t="shared" si="14"/>
        <v>October</v>
      </c>
      <c r="E154" t="str">
        <f t="shared" si="17"/>
        <v>Q4</v>
      </c>
      <c r="F154" t="str">
        <f t="shared" si="15"/>
        <v>Friday</v>
      </c>
      <c r="G154" t="str">
        <f t="shared" si="16"/>
        <v>No</v>
      </c>
    </row>
    <row r="155" spans="1:7" x14ac:dyDescent="0.3">
      <c r="A155" s="2">
        <v>45962</v>
      </c>
      <c r="B155">
        <f t="shared" si="12"/>
        <v>2025</v>
      </c>
      <c r="C155">
        <f t="shared" si="13"/>
        <v>11</v>
      </c>
      <c r="D155" t="str">
        <f t="shared" si="14"/>
        <v>November</v>
      </c>
      <c r="E155" t="str">
        <f t="shared" si="17"/>
        <v>Q4</v>
      </c>
      <c r="F155" t="str">
        <f t="shared" si="15"/>
        <v>Saturday</v>
      </c>
      <c r="G155" t="str">
        <f t="shared" si="16"/>
        <v>Yes</v>
      </c>
    </row>
    <row r="156" spans="1:7" x14ac:dyDescent="0.3">
      <c r="A156" s="2">
        <v>45963</v>
      </c>
      <c r="B156">
        <f t="shared" si="12"/>
        <v>2025</v>
      </c>
      <c r="C156">
        <f t="shared" si="13"/>
        <v>11</v>
      </c>
      <c r="D156" t="str">
        <f t="shared" si="14"/>
        <v>November</v>
      </c>
      <c r="E156" t="str">
        <f t="shared" si="17"/>
        <v>Q4</v>
      </c>
      <c r="F156" t="str">
        <f t="shared" si="15"/>
        <v>Sunday</v>
      </c>
      <c r="G156" t="str">
        <f t="shared" si="16"/>
        <v>Yes</v>
      </c>
    </row>
    <row r="157" spans="1:7" x14ac:dyDescent="0.3">
      <c r="A157" s="2">
        <v>45964</v>
      </c>
      <c r="B157">
        <f t="shared" si="12"/>
        <v>2025</v>
      </c>
      <c r="C157">
        <f t="shared" si="13"/>
        <v>11</v>
      </c>
      <c r="D157" t="str">
        <f t="shared" si="14"/>
        <v>November</v>
      </c>
      <c r="E157" t="str">
        <f t="shared" si="17"/>
        <v>Q4</v>
      </c>
      <c r="F157" t="str">
        <f t="shared" si="15"/>
        <v>Monday</v>
      </c>
      <c r="G157" t="str">
        <f t="shared" si="16"/>
        <v>No</v>
      </c>
    </row>
    <row r="158" spans="1:7" x14ac:dyDescent="0.3">
      <c r="A158" s="2">
        <v>45965</v>
      </c>
      <c r="B158">
        <f t="shared" si="12"/>
        <v>2025</v>
      </c>
      <c r="C158">
        <f t="shared" si="13"/>
        <v>11</v>
      </c>
      <c r="D158" t="str">
        <f t="shared" si="14"/>
        <v>November</v>
      </c>
      <c r="E158" t="str">
        <f t="shared" si="17"/>
        <v>Q4</v>
      </c>
      <c r="F158" t="str">
        <f t="shared" si="15"/>
        <v>Tuesday</v>
      </c>
      <c r="G158" t="str">
        <f t="shared" si="16"/>
        <v>No</v>
      </c>
    </row>
    <row r="159" spans="1:7" x14ac:dyDescent="0.3">
      <c r="A159" s="2">
        <v>45966</v>
      </c>
      <c r="B159">
        <f t="shared" si="12"/>
        <v>2025</v>
      </c>
      <c r="C159">
        <f t="shared" si="13"/>
        <v>11</v>
      </c>
      <c r="D159" t="str">
        <f t="shared" si="14"/>
        <v>November</v>
      </c>
      <c r="E159" t="str">
        <f t="shared" si="17"/>
        <v>Q4</v>
      </c>
      <c r="F159" t="str">
        <f t="shared" si="15"/>
        <v>Wednesday</v>
      </c>
      <c r="G159" t="str">
        <f t="shared" si="16"/>
        <v>No</v>
      </c>
    </row>
    <row r="160" spans="1:7" x14ac:dyDescent="0.3">
      <c r="A160" s="2">
        <v>45967</v>
      </c>
      <c r="B160">
        <f t="shared" si="12"/>
        <v>2025</v>
      </c>
      <c r="C160">
        <f t="shared" si="13"/>
        <v>11</v>
      </c>
      <c r="D160" t="str">
        <f t="shared" si="14"/>
        <v>November</v>
      </c>
      <c r="E160" t="str">
        <f t="shared" si="17"/>
        <v>Q4</v>
      </c>
      <c r="F160" t="str">
        <f t="shared" si="15"/>
        <v>Thursday</v>
      </c>
      <c r="G160" t="str">
        <f t="shared" si="16"/>
        <v>No</v>
      </c>
    </row>
    <row r="161" spans="1:7" x14ac:dyDescent="0.3">
      <c r="A161" s="2">
        <v>45968</v>
      </c>
      <c r="B161">
        <f t="shared" si="12"/>
        <v>2025</v>
      </c>
      <c r="C161">
        <f t="shared" si="13"/>
        <v>11</v>
      </c>
      <c r="D161" t="str">
        <f t="shared" si="14"/>
        <v>November</v>
      </c>
      <c r="E161" t="str">
        <f t="shared" si="17"/>
        <v>Q4</v>
      </c>
      <c r="F161" t="str">
        <f t="shared" si="15"/>
        <v>Friday</v>
      </c>
      <c r="G161" t="str">
        <f t="shared" si="16"/>
        <v>No</v>
      </c>
    </row>
    <row r="162" spans="1:7" x14ac:dyDescent="0.3">
      <c r="A162" s="2">
        <v>45969</v>
      </c>
      <c r="B162">
        <f t="shared" si="12"/>
        <v>2025</v>
      </c>
      <c r="C162">
        <f t="shared" si="13"/>
        <v>11</v>
      </c>
      <c r="D162" t="str">
        <f t="shared" si="14"/>
        <v>November</v>
      </c>
      <c r="E162" t="str">
        <f t="shared" si="17"/>
        <v>Q4</v>
      </c>
      <c r="F162" t="str">
        <f t="shared" si="15"/>
        <v>Saturday</v>
      </c>
      <c r="G162" t="str">
        <f t="shared" si="16"/>
        <v>Yes</v>
      </c>
    </row>
    <row r="163" spans="1:7" x14ac:dyDescent="0.3">
      <c r="A163" s="2">
        <v>45970</v>
      </c>
      <c r="B163">
        <f t="shared" si="12"/>
        <v>2025</v>
      </c>
      <c r="C163">
        <f t="shared" si="13"/>
        <v>11</v>
      </c>
      <c r="D163" t="str">
        <f t="shared" si="14"/>
        <v>November</v>
      </c>
      <c r="E163" t="str">
        <f t="shared" si="17"/>
        <v>Q4</v>
      </c>
      <c r="F163" t="str">
        <f t="shared" si="15"/>
        <v>Sunday</v>
      </c>
      <c r="G163" t="str">
        <f t="shared" si="16"/>
        <v>Yes</v>
      </c>
    </row>
    <row r="164" spans="1:7" x14ac:dyDescent="0.3">
      <c r="A164" s="2">
        <v>45971</v>
      </c>
      <c r="B164">
        <f t="shared" si="12"/>
        <v>2025</v>
      </c>
      <c r="C164">
        <f t="shared" si="13"/>
        <v>11</v>
      </c>
      <c r="D164" t="str">
        <f t="shared" si="14"/>
        <v>November</v>
      </c>
      <c r="E164" t="str">
        <f t="shared" si="17"/>
        <v>Q4</v>
      </c>
      <c r="F164" t="str">
        <f t="shared" si="15"/>
        <v>Monday</v>
      </c>
      <c r="G164" t="str">
        <f t="shared" si="16"/>
        <v>No</v>
      </c>
    </row>
    <row r="165" spans="1:7" x14ac:dyDescent="0.3">
      <c r="A165" s="2">
        <v>45972</v>
      </c>
      <c r="B165">
        <f t="shared" si="12"/>
        <v>2025</v>
      </c>
      <c r="C165">
        <f t="shared" si="13"/>
        <v>11</v>
      </c>
      <c r="D165" t="str">
        <f t="shared" si="14"/>
        <v>November</v>
      </c>
      <c r="E165" t="str">
        <f t="shared" si="17"/>
        <v>Q4</v>
      </c>
      <c r="F165" t="str">
        <f t="shared" si="15"/>
        <v>Tuesday</v>
      </c>
      <c r="G165" t="str">
        <f t="shared" si="16"/>
        <v>No</v>
      </c>
    </row>
    <row r="166" spans="1:7" x14ac:dyDescent="0.3">
      <c r="A166" s="2">
        <v>45973</v>
      </c>
      <c r="B166">
        <f t="shared" si="12"/>
        <v>2025</v>
      </c>
      <c r="C166">
        <f t="shared" si="13"/>
        <v>11</v>
      </c>
      <c r="D166" t="str">
        <f t="shared" si="14"/>
        <v>November</v>
      </c>
      <c r="E166" t="str">
        <f t="shared" si="17"/>
        <v>Q4</v>
      </c>
      <c r="F166" t="str">
        <f t="shared" si="15"/>
        <v>Wednesday</v>
      </c>
      <c r="G166" t="str">
        <f t="shared" si="16"/>
        <v>No</v>
      </c>
    </row>
    <row r="167" spans="1:7" x14ac:dyDescent="0.3">
      <c r="A167" s="2">
        <v>45974</v>
      </c>
      <c r="B167">
        <f t="shared" si="12"/>
        <v>2025</v>
      </c>
      <c r="C167">
        <f t="shared" si="13"/>
        <v>11</v>
      </c>
      <c r="D167" t="str">
        <f t="shared" si="14"/>
        <v>November</v>
      </c>
      <c r="E167" t="str">
        <f t="shared" si="17"/>
        <v>Q4</v>
      </c>
      <c r="F167" t="str">
        <f t="shared" si="15"/>
        <v>Thursday</v>
      </c>
      <c r="G167" t="str">
        <f t="shared" si="16"/>
        <v>No</v>
      </c>
    </row>
    <row r="168" spans="1:7" x14ac:dyDescent="0.3">
      <c r="A168" s="2">
        <v>45975</v>
      </c>
      <c r="B168">
        <f t="shared" si="12"/>
        <v>2025</v>
      </c>
      <c r="C168">
        <f t="shared" si="13"/>
        <v>11</v>
      </c>
      <c r="D168" t="str">
        <f t="shared" si="14"/>
        <v>November</v>
      </c>
      <c r="E168" t="str">
        <f t="shared" si="17"/>
        <v>Q4</v>
      </c>
      <c r="F168" t="str">
        <f t="shared" si="15"/>
        <v>Friday</v>
      </c>
      <c r="G168" t="str">
        <f t="shared" si="16"/>
        <v>No</v>
      </c>
    </row>
    <row r="169" spans="1:7" x14ac:dyDescent="0.3">
      <c r="A169" s="2">
        <v>45976</v>
      </c>
      <c r="B169">
        <f t="shared" si="12"/>
        <v>2025</v>
      </c>
      <c r="C169">
        <f t="shared" si="13"/>
        <v>11</v>
      </c>
      <c r="D169" t="str">
        <f t="shared" si="14"/>
        <v>November</v>
      </c>
      <c r="E169" t="str">
        <f t="shared" si="17"/>
        <v>Q4</v>
      </c>
      <c r="F169" t="str">
        <f t="shared" si="15"/>
        <v>Saturday</v>
      </c>
      <c r="G169" t="str">
        <f t="shared" si="16"/>
        <v>Yes</v>
      </c>
    </row>
    <row r="170" spans="1:7" x14ac:dyDescent="0.3">
      <c r="A170" s="2">
        <v>45977</v>
      </c>
      <c r="B170">
        <f t="shared" si="12"/>
        <v>2025</v>
      </c>
      <c r="C170">
        <f t="shared" si="13"/>
        <v>11</v>
      </c>
      <c r="D170" t="str">
        <f t="shared" si="14"/>
        <v>November</v>
      </c>
      <c r="E170" t="str">
        <f t="shared" si="17"/>
        <v>Q4</v>
      </c>
      <c r="F170" t="str">
        <f t="shared" si="15"/>
        <v>Sunday</v>
      </c>
      <c r="G170" t="str">
        <f t="shared" si="16"/>
        <v>Yes</v>
      </c>
    </row>
    <row r="171" spans="1:7" x14ac:dyDescent="0.3">
      <c r="A171" s="2">
        <v>45978</v>
      </c>
      <c r="B171">
        <f t="shared" si="12"/>
        <v>2025</v>
      </c>
      <c r="C171">
        <f t="shared" si="13"/>
        <v>11</v>
      </c>
      <c r="D171" t="str">
        <f t="shared" si="14"/>
        <v>November</v>
      </c>
      <c r="E171" t="str">
        <f t="shared" si="17"/>
        <v>Q4</v>
      </c>
      <c r="F171" t="str">
        <f t="shared" si="15"/>
        <v>Monday</v>
      </c>
      <c r="G171" t="str">
        <f t="shared" si="16"/>
        <v>No</v>
      </c>
    </row>
    <row r="172" spans="1:7" x14ac:dyDescent="0.3">
      <c r="A172" s="2">
        <v>45979</v>
      </c>
      <c r="B172">
        <f t="shared" si="12"/>
        <v>2025</v>
      </c>
      <c r="C172">
        <f t="shared" si="13"/>
        <v>11</v>
      </c>
      <c r="D172" t="str">
        <f t="shared" si="14"/>
        <v>November</v>
      </c>
      <c r="E172" t="str">
        <f t="shared" si="17"/>
        <v>Q4</v>
      </c>
      <c r="F172" t="str">
        <f t="shared" si="15"/>
        <v>Tuesday</v>
      </c>
      <c r="G172" t="str">
        <f t="shared" si="16"/>
        <v>No</v>
      </c>
    </row>
    <row r="173" spans="1:7" x14ac:dyDescent="0.3">
      <c r="A173" s="2">
        <v>45980</v>
      </c>
      <c r="B173">
        <f t="shared" si="12"/>
        <v>2025</v>
      </c>
      <c r="C173">
        <f t="shared" si="13"/>
        <v>11</v>
      </c>
      <c r="D173" t="str">
        <f t="shared" si="14"/>
        <v>November</v>
      </c>
      <c r="E173" t="str">
        <f t="shared" si="17"/>
        <v>Q4</v>
      </c>
      <c r="F173" t="str">
        <f t="shared" si="15"/>
        <v>Wednesday</v>
      </c>
      <c r="G173" t="str">
        <f t="shared" si="16"/>
        <v>No</v>
      </c>
    </row>
    <row r="174" spans="1:7" x14ac:dyDescent="0.3">
      <c r="A174" s="2">
        <v>45981</v>
      </c>
      <c r="B174">
        <f t="shared" si="12"/>
        <v>2025</v>
      </c>
      <c r="C174">
        <f t="shared" si="13"/>
        <v>11</v>
      </c>
      <c r="D174" t="str">
        <f t="shared" si="14"/>
        <v>November</v>
      </c>
      <c r="E174" t="str">
        <f t="shared" si="17"/>
        <v>Q4</v>
      </c>
      <c r="F174" t="str">
        <f t="shared" si="15"/>
        <v>Thursday</v>
      </c>
      <c r="G174" t="str">
        <f t="shared" si="16"/>
        <v>No</v>
      </c>
    </row>
    <row r="175" spans="1:7" x14ac:dyDescent="0.3">
      <c r="A175" s="2">
        <v>45982</v>
      </c>
      <c r="B175">
        <f t="shared" si="12"/>
        <v>2025</v>
      </c>
      <c r="C175">
        <f t="shared" si="13"/>
        <v>11</v>
      </c>
      <c r="D175" t="str">
        <f t="shared" si="14"/>
        <v>November</v>
      </c>
      <c r="E175" t="str">
        <f t="shared" si="17"/>
        <v>Q4</v>
      </c>
      <c r="F175" t="str">
        <f t="shared" si="15"/>
        <v>Friday</v>
      </c>
      <c r="G175" t="str">
        <f t="shared" si="16"/>
        <v>No</v>
      </c>
    </row>
    <row r="176" spans="1:7" x14ac:dyDescent="0.3">
      <c r="A176" s="2">
        <v>45983</v>
      </c>
      <c r="B176">
        <f t="shared" si="12"/>
        <v>2025</v>
      </c>
      <c r="C176">
        <f t="shared" si="13"/>
        <v>11</v>
      </c>
      <c r="D176" t="str">
        <f t="shared" si="14"/>
        <v>November</v>
      </c>
      <c r="E176" t="str">
        <f t="shared" si="17"/>
        <v>Q4</v>
      </c>
      <c r="F176" t="str">
        <f t="shared" si="15"/>
        <v>Saturday</v>
      </c>
      <c r="G176" t="str">
        <f t="shared" si="16"/>
        <v>Yes</v>
      </c>
    </row>
    <row r="177" spans="1:7" x14ac:dyDescent="0.3">
      <c r="A177" s="2">
        <v>45984</v>
      </c>
      <c r="B177">
        <f t="shared" si="12"/>
        <v>2025</v>
      </c>
      <c r="C177">
        <f t="shared" si="13"/>
        <v>11</v>
      </c>
      <c r="D177" t="str">
        <f t="shared" si="14"/>
        <v>November</v>
      </c>
      <c r="E177" t="str">
        <f t="shared" si="17"/>
        <v>Q4</v>
      </c>
      <c r="F177" t="str">
        <f t="shared" si="15"/>
        <v>Sunday</v>
      </c>
      <c r="G177" t="str">
        <f t="shared" si="16"/>
        <v>Yes</v>
      </c>
    </row>
    <row r="178" spans="1:7" x14ac:dyDescent="0.3">
      <c r="A178" s="2">
        <v>45985</v>
      </c>
      <c r="B178">
        <f t="shared" si="12"/>
        <v>2025</v>
      </c>
      <c r="C178">
        <f t="shared" si="13"/>
        <v>11</v>
      </c>
      <c r="D178" t="str">
        <f t="shared" si="14"/>
        <v>November</v>
      </c>
      <c r="E178" t="str">
        <f t="shared" si="17"/>
        <v>Q4</v>
      </c>
      <c r="F178" t="str">
        <f t="shared" si="15"/>
        <v>Monday</v>
      </c>
      <c r="G178" t="str">
        <f t="shared" si="16"/>
        <v>No</v>
      </c>
    </row>
    <row r="179" spans="1:7" x14ac:dyDescent="0.3">
      <c r="A179" s="2">
        <v>45986</v>
      </c>
      <c r="B179">
        <f t="shared" si="12"/>
        <v>2025</v>
      </c>
      <c r="C179">
        <f t="shared" si="13"/>
        <v>11</v>
      </c>
      <c r="D179" t="str">
        <f t="shared" si="14"/>
        <v>November</v>
      </c>
      <c r="E179" t="str">
        <f t="shared" si="17"/>
        <v>Q4</v>
      </c>
      <c r="F179" t="str">
        <f t="shared" si="15"/>
        <v>Tuesday</v>
      </c>
      <c r="G179" t="str">
        <f t="shared" si="16"/>
        <v>No</v>
      </c>
    </row>
    <row r="180" spans="1:7" x14ac:dyDescent="0.3">
      <c r="A180" s="2">
        <v>45987</v>
      </c>
      <c r="B180">
        <f t="shared" si="12"/>
        <v>2025</v>
      </c>
      <c r="C180">
        <f t="shared" si="13"/>
        <v>11</v>
      </c>
      <c r="D180" t="str">
        <f t="shared" si="14"/>
        <v>November</v>
      </c>
      <c r="E180" t="str">
        <f t="shared" si="17"/>
        <v>Q4</v>
      </c>
      <c r="F180" t="str">
        <f t="shared" si="15"/>
        <v>Wednesday</v>
      </c>
      <c r="G180" t="str">
        <f t="shared" si="16"/>
        <v>No</v>
      </c>
    </row>
    <row r="181" spans="1:7" x14ac:dyDescent="0.3">
      <c r="A181" s="2">
        <v>45988</v>
      </c>
      <c r="B181">
        <f t="shared" si="12"/>
        <v>2025</v>
      </c>
      <c r="C181">
        <f t="shared" si="13"/>
        <v>11</v>
      </c>
      <c r="D181" t="str">
        <f t="shared" si="14"/>
        <v>November</v>
      </c>
      <c r="E181" t="str">
        <f t="shared" si="17"/>
        <v>Q4</v>
      </c>
      <c r="F181" t="str">
        <f t="shared" si="15"/>
        <v>Thursday</v>
      </c>
      <c r="G181" t="str">
        <f t="shared" si="16"/>
        <v>No</v>
      </c>
    </row>
    <row r="182" spans="1:7" x14ac:dyDescent="0.3">
      <c r="A182" s="2">
        <v>45989</v>
      </c>
      <c r="B182">
        <f t="shared" si="12"/>
        <v>2025</v>
      </c>
      <c r="C182">
        <f t="shared" si="13"/>
        <v>11</v>
      </c>
      <c r="D182" t="str">
        <f t="shared" si="14"/>
        <v>November</v>
      </c>
      <c r="E182" t="str">
        <f t="shared" si="17"/>
        <v>Q4</v>
      </c>
      <c r="F182" t="str">
        <f t="shared" si="15"/>
        <v>Friday</v>
      </c>
      <c r="G182" t="str">
        <f t="shared" si="16"/>
        <v>No</v>
      </c>
    </row>
    <row r="183" spans="1:7" x14ac:dyDescent="0.3">
      <c r="A183" s="2">
        <v>45990</v>
      </c>
      <c r="B183">
        <f t="shared" si="12"/>
        <v>2025</v>
      </c>
      <c r="C183">
        <f t="shared" si="13"/>
        <v>11</v>
      </c>
      <c r="D183" t="str">
        <f t="shared" si="14"/>
        <v>November</v>
      </c>
      <c r="E183" t="str">
        <f t="shared" si="17"/>
        <v>Q4</v>
      </c>
      <c r="F183" t="str">
        <f t="shared" si="15"/>
        <v>Saturday</v>
      </c>
      <c r="G183" t="str">
        <f t="shared" si="16"/>
        <v>Yes</v>
      </c>
    </row>
    <row r="184" spans="1:7" x14ac:dyDescent="0.3">
      <c r="A184" s="2">
        <v>45991</v>
      </c>
      <c r="B184">
        <f t="shared" si="12"/>
        <v>2025</v>
      </c>
      <c r="C184">
        <f t="shared" si="13"/>
        <v>11</v>
      </c>
      <c r="D184" t="str">
        <f t="shared" si="14"/>
        <v>November</v>
      </c>
      <c r="E184" t="str">
        <f t="shared" si="17"/>
        <v>Q4</v>
      </c>
      <c r="F184" t="str">
        <f t="shared" si="15"/>
        <v>Sunday</v>
      </c>
      <c r="G184" t="str">
        <f t="shared" si="16"/>
        <v>Yes</v>
      </c>
    </row>
    <row r="185" spans="1:7" x14ac:dyDescent="0.3">
      <c r="A185" s="2">
        <v>45992</v>
      </c>
      <c r="B185">
        <f t="shared" si="12"/>
        <v>2025</v>
      </c>
      <c r="C185">
        <f t="shared" si="13"/>
        <v>12</v>
      </c>
      <c r="D185" t="str">
        <f t="shared" si="14"/>
        <v>December</v>
      </c>
      <c r="E185" t="str">
        <f t="shared" si="17"/>
        <v>Q4</v>
      </c>
      <c r="F185" t="str">
        <f t="shared" si="15"/>
        <v>Monday</v>
      </c>
      <c r="G185" t="str">
        <f t="shared" si="16"/>
        <v>No</v>
      </c>
    </row>
    <row r="186" spans="1:7" x14ac:dyDescent="0.3">
      <c r="A186" s="2">
        <v>45993</v>
      </c>
      <c r="B186">
        <f t="shared" si="12"/>
        <v>2025</v>
      </c>
      <c r="C186">
        <f t="shared" si="13"/>
        <v>12</v>
      </c>
      <c r="D186" t="str">
        <f t="shared" si="14"/>
        <v>December</v>
      </c>
      <c r="E186" t="str">
        <f t="shared" si="17"/>
        <v>Q4</v>
      </c>
      <c r="F186" t="str">
        <f t="shared" si="15"/>
        <v>Tuesday</v>
      </c>
      <c r="G186" t="str">
        <f t="shared" si="16"/>
        <v>No</v>
      </c>
    </row>
    <row r="187" spans="1:7" x14ac:dyDescent="0.3">
      <c r="A187" s="2">
        <v>45994</v>
      </c>
      <c r="B187">
        <f t="shared" si="12"/>
        <v>2025</v>
      </c>
      <c r="C187">
        <f t="shared" si="13"/>
        <v>12</v>
      </c>
      <c r="D187" t="str">
        <f t="shared" si="14"/>
        <v>December</v>
      </c>
      <c r="E187" t="str">
        <f t="shared" si="17"/>
        <v>Q4</v>
      </c>
      <c r="F187" t="str">
        <f t="shared" si="15"/>
        <v>Wednesday</v>
      </c>
      <c r="G187" t="str">
        <f t="shared" si="16"/>
        <v>No</v>
      </c>
    </row>
    <row r="188" spans="1:7" x14ac:dyDescent="0.3">
      <c r="A188" s="2">
        <v>45995</v>
      </c>
      <c r="B188">
        <f t="shared" si="12"/>
        <v>2025</v>
      </c>
      <c r="C188">
        <f t="shared" si="13"/>
        <v>12</v>
      </c>
      <c r="D188" t="str">
        <f t="shared" si="14"/>
        <v>December</v>
      </c>
      <c r="E188" t="str">
        <f t="shared" si="17"/>
        <v>Q4</v>
      </c>
      <c r="F188" t="str">
        <f t="shared" si="15"/>
        <v>Thursday</v>
      </c>
      <c r="G188" t="str">
        <f t="shared" si="16"/>
        <v>No</v>
      </c>
    </row>
    <row r="189" spans="1:7" x14ac:dyDescent="0.3">
      <c r="A189" s="2">
        <v>45996</v>
      </c>
      <c r="B189">
        <f t="shared" si="12"/>
        <v>2025</v>
      </c>
      <c r="C189">
        <f t="shared" si="13"/>
        <v>12</v>
      </c>
      <c r="D189" t="str">
        <f t="shared" si="14"/>
        <v>December</v>
      </c>
      <c r="E189" t="str">
        <f t="shared" si="17"/>
        <v>Q4</v>
      </c>
      <c r="F189" t="str">
        <f t="shared" si="15"/>
        <v>Friday</v>
      </c>
      <c r="G189" t="str">
        <f t="shared" si="16"/>
        <v>No</v>
      </c>
    </row>
    <row r="190" spans="1:7" x14ac:dyDescent="0.3">
      <c r="A190" s="2">
        <v>45997</v>
      </c>
      <c r="B190">
        <f t="shared" si="12"/>
        <v>2025</v>
      </c>
      <c r="C190">
        <f t="shared" si="13"/>
        <v>12</v>
      </c>
      <c r="D190" t="str">
        <f t="shared" si="14"/>
        <v>December</v>
      </c>
      <c r="E190" t="str">
        <f t="shared" si="17"/>
        <v>Q4</v>
      </c>
      <c r="F190" t="str">
        <f t="shared" si="15"/>
        <v>Saturday</v>
      </c>
      <c r="G190" t="str">
        <f t="shared" si="16"/>
        <v>Yes</v>
      </c>
    </row>
    <row r="191" spans="1:7" x14ac:dyDescent="0.3">
      <c r="A191" s="2">
        <v>45998</v>
      </c>
      <c r="B191">
        <f t="shared" si="12"/>
        <v>2025</v>
      </c>
      <c r="C191">
        <f t="shared" si="13"/>
        <v>12</v>
      </c>
      <c r="D191" t="str">
        <f t="shared" si="14"/>
        <v>December</v>
      </c>
      <c r="E191" t="str">
        <f t="shared" si="17"/>
        <v>Q4</v>
      </c>
      <c r="F191" t="str">
        <f t="shared" si="15"/>
        <v>Sunday</v>
      </c>
      <c r="G191" t="str">
        <f t="shared" si="16"/>
        <v>Yes</v>
      </c>
    </row>
    <row r="192" spans="1:7" x14ac:dyDescent="0.3">
      <c r="A192" s="2">
        <v>45999</v>
      </c>
      <c r="B192">
        <f t="shared" si="12"/>
        <v>2025</v>
      </c>
      <c r="C192">
        <f t="shared" si="13"/>
        <v>12</v>
      </c>
      <c r="D192" t="str">
        <f t="shared" si="14"/>
        <v>December</v>
      </c>
      <c r="E192" t="str">
        <f t="shared" si="17"/>
        <v>Q4</v>
      </c>
      <c r="F192" t="str">
        <f t="shared" si="15"/>
        <v>Monday</v>
      </c>
      <c r="G192" t="str">
        <f t="shared" si="16"/>
        <v>No</v>
      </c>
    </row>
    <row r="193" spans="1:7" x14ac:dyDescent="0.3">
      <c r="A193" s="2">
        <v>46000</v>
      </c>
      <c r="B193">
        <f t="shared" si="12"/>
        <v>2025</v>
      </c>
      <c r="C193">
        <f t="shared" si="13"/>
        <v>12</v>
      </c>
      <c r="D193" t="str">
        <f t="shared" si="14"/>
        <v>December</v>
      </c>
      <c r="E193" t="str">
        <f t="shared" si="17"/>
        <v>Q4</v>
      </c>
      <c r="F193" t="str">
        <f t="shared" si="15"/>
        <v>Tuesday</v>
      </c>
      <c r="G193" t="str">
        <f t="shared" si="16"/>
        <v>No</v>
      </c>
    </row>
    <row r="194" spans="1:7" x14ac:dyDescent="0.3">
      <c r="A194" s="2">
        <v>46001</v>
      </c>
      <c r="B194">
        <f t="shared" si="12"/>
        <v>2025</v>
      </c>
      <c r="C194">
        <f t="shared" si="13"/>
        <v>12</v>
      </c>
      <c r="D194" t="str">
        <f t="shared" si="14"/>
        <v>December</v>
      </c>
      <c r="E194" t="str">
        <f t="shared" si="17"/>
        <v>Q4</v>
      </c>
      <c r="F194" t="str">
        <f t="shared" si="15"/>
        <v>Wednesday</v>
      </c>
      <c r="G194" t="str">
        <f t="shared" si="16"/>
        <v>No</v>
      </c>
    </row>
    <row r="195" spans="1:7" x14ac:dyDescent="0.3">
      <c r="A195" s="2">
        <v>46002</v>
      </c>
      <c r="B195">
        <f t="shared" ref="B195:B215" si="18" xml:space="preserve"> YEAR(A195)</f>
        <v>2025</v>
      </c>
      <c r="C195">
        <f t="shared" ref="C195:C215" si="19">MONTH(A195)</f>
        <v>12</v>
      </c>
      <c r="D195" t="str">
        <f t="shared" ref="D195:D215" si="20">TEXT(A195,"mmmm")</f>
        <v>December</v>
      </c>
      <c r="E195" t="str">
        <f t="shared" si="17"/>
        <v>Q4</v>
      </c>
      <c r="F195" t="str">
        <f t="shared" ref="F195:F215" si="21">TEXT(A195,"dddd")</f>
        <v>Thursday</v>
      </c>
      <c r="G195" t="str">
        <f t="shared" ref="G195:G215" si="22">IF(OR(WEEKDAY(A195)=1,WEEKDAY(A195)=7),"Yes","No")</f>
        <v>No</v>
      </c>
    </row>
    <row r="196" spans="1:7" x14ac:dyDescent="0.3">
      <c r="A196" s="2">
        <v>46003</v>
      </c>
      <c r="B196">
        <f t="shared" si="18"/>
        <v>2025</v>
      </c>
      <c r="C196">
        <f t="shared" si="19"/>
        <v>12</v>
      </c>
      <c r="D196" t="str">
        <f t="shared" si="20"/>
        <v>December</v>
      </c>
      <c r="E196" t="str">
        <f t="shared" ref="E196:E215" si="23">"Q"&amp;ROUNDUP(MONTH(A196)/3,0)</f>
        <v>Q4</v>
      </c>
      <c r="F196" t="str">
        <f t="shared" si="21"/>
        <v>Friday</v>
      </c>
      <c r="G196" t="str">
        <f t="shared" si="22"/>
        <v>No</v>
      </c>
    </row>
    <row r="197" spans="1:7" x14ac:dyDescent="0.3">
      <c r="A197" s="2">
        <v>46004</v>
      </c>
      <c r="B197">
        <f t="shared" si="18"/>
        <v>2025</v>
      </c>
      <c r="C197">
        <f t="shared" si="19"/>
        <v>12</v>
      </c>
      <c r="D197" t="str">
        <f t="shared" si="20"/>
        <v>December</v>
      </c>
      <c r="E197" t="str">
        <f t="shared" si="23"/>
        <v>Q4</v>
      </c>
      <c r="F197" t="str">
        <f t="shared" si="21"/>
        <v>Saturday</v>
      </c>
      <c r="G197" t="str">
        <f t="shared" si="22"/>
        <v>Yes</v>
      </c>
    </row>
    <row r="198" spans="1:7" x14ac:dyDescent="0.3">
      <c r="A198" s="2">
        <v>46005</v>
      </c>
      <c r="B198">
        <f t="shared" si="18"/>
        <v>2025</v>
      </c>
      <c r="C198">
        <f t="shared" si="19"/>
        <v>12</v>
      </c>
      <c r="D198" t="str">
        <f t="shared" si="20"/>
        <v>December</v>
      </c>
      <c r="E198" t="str">
        <f t="shared" si="23"/>
        <v>Q4</v>
      </c>
      <c r="F198" t="str">
        <f t="shared" si="21"/>
        <v>Sunday</v>
      </c>
      <c r="G198" t="str">
        <f t="shared" si="22"/>
        <v>Yes</v>
      </c>
    </row>
    <row r="199" spans="1:7" x14ac:dyDescent="0.3">
      <c r="A199" s="2">
        <v>46006</v>
      </c>
      <c r="B199">
        <f t="shared" si="18"/>
        <v>2025</v>
      </c>
      <c r="C199">
        <f t="shared" si="19"/>
        <v>12</v>
      </c>
      <c r="D199" t="str">
        <f t="shared" si="20"/>
        <v>December</v>
      </c>
      <c r="E199" t="str">
        <f t="shared" si="23"/>
        <v>Q4</v>
      </c>
      <c r="F199" t="str">
        <f t="shared" si="21"/>
        <v>Monday</v>
      </c>
      <c r="G199" t="str">
        <f t="shared" si="22"/>
        <v>No</v>
      </c>
    </row>
    <row r="200" spans="1:7" x14ac:dyDescent="0.3">
      <c r="A200" s="2">
        <v>46007</v>
      </c>
      <c r="B200">
        <f t="shared" si="18"/>
        <v>2025</v>
      </c>
      <c r="C200">
        <f t="shared" si="19"/>
        <v>12</v>
      </c>
      <c r="D200" t="str">
        <f t="shared" si="20"/>
        <v>December</v>
      </c>
      <c r="E200" t="str">
        <f t="shared" si="23"/>
        <v>Q4</v>
      </c>
      <c r="F200" t="str">
        <f t="shared" si="21"/>
        <v>Tuesday</v>
      </c>
      <c r="G200" t="str">
        <f t="shared" si="22"/>
        <v>No</v>
      </c>
    </row>
    <row r="201" spans="1:7" x14ac:dyDescent="0.3">
      <c r="A201" s="2">
        <v>46008</v>
      </c>
      <c r="B201">
        <f t="shared" si="18"/>
        <v>2025</v>
      </c>
      <c r="C201">
        <f t="shared" si="19"/>
        <v>12</v>
      </c>
      <c r="D201" t="str">
        <f t="shared" si="20"/>
        <v>December</v>
      </c>
      <c r="E201" t="str">
        <f t="shared" si="23"/>
        <v>Q4</v>
      </c>
      <c r="F201" t="str">
        <f t="shared" si="21"/>
        <v>Wednesday</v>
      </c>
      <c r="G201" t="str">
        <f t="shared" si="22"/>
        <v>No</v>
      </c>
    </row>
    <row r="202" spans="1:7" x14ac:dyDescent="0.3">
      <c r="A202" s="2">
        <v>46009</v>
      </c>
      <c r="B202">
        <f t="shared" si="18"/>
        <v>2025</v>
      </c>
      <c r="C202">
        <f t="shared" si="19"/>
        <v>12</v>
      </c>
      <c r="D202" t="str">
        <f t="shared" si="20"/>
        <v>December</v>
      </c>
      <c r="E202" t="str">
        <f t="shared" si="23"/>
        <v>Q4</v>
      </c>
      <c r="F202" t="str">
        <f t="shared" si="21"/>
        <v>Thursday</v>
      </c>
      <c r="G202" t="str">
        <f t="shared" si="22"/>
        <v>No</v>
      </c>
    </row>
    <row r="203" spans="1:7" x14ac:dyDescent="0.3">
      <c r="A203" s="2">
        <v>46010</v>
      </c>
      <c r="B203">
        <f t="shared" si="18"/>
        <v>2025</v>
      </c>
      <c r="C203">
        <f t="shared" si="19"/>
        <v>12</v>
      </c>
      <c r="D203" t="str">
        <f t="shared" si="20"/>
        <v>December</v>
      </c>
      <c r="E203" t="str">
        <f t="shared" si="23"/>
        <v>Q4</v>
      </c>
      <c r="F203" t="str">
        <f t="shared" si="21"/>
        <v>Friday</v>
      </c>
      <c r="G203" t="str">
        <f t="shared" si="22"/>
        <v>No</v>
      </c>
    </row>
    <row r="204" spans="1:7" x14ac:dyDescent="0.3">
      <c r="A204" s="2">
        <v>46011</v>
      </c>
      <c r="B204">
        <f t="shared" si="18"/>
        <v>2025</v>
      </c>
      <c r="C204">
        <f t="shared" si="19"/>
        <v>12</v>
      </c>
      <c r="D204" t="str">
        <f t="shared" si="20"/>
        <v>December</v>
      </c>
      <c r="E204" t="str">
        <f t="shared" si="23"/>
        <v>Q4</v>
      </c>
      <c r="F204" t="str">
        <f t="shared" si="21"/>
        <v>Saturday</v>
      </c>
      <c r="G204" t="str">
        <f t="shared" si="22"/>
        <v>Yes</v>
      </c>
    </row>
    <row r="205" spans="1:7" x14ac:dyDescent="0.3">
      <c r="A205" s="2">
        <v>46012</v>
      </c>
      <c r="B205">
        <f t="shared" si="18"/>
        <v>2025</v>
      </c>
      <c r="C205">
        <f t="shared" si="19"/>
        <v>12</v>
      </c>
      <c r="D205" t="str">
        <f t="shared" si="20"/>
        <v>December</v>
      </c>
      <c r="E205" t="str">
        <f t="shared" si="23"/>
        <v>Q4</v>
      </c>
      <c r="F205" t="str">
        <f t="shared" si="21"/>
        <v>Sunday</v>
      </c>
      <c r="G205" t="str">
        <f t="shared" si="22"/>
        <v>Yes</v>
      </c>
    </row>
    <row r="206" spans="1:7" x14ac:dyDescent="0.3">
      <c r="A206" s="2">
        <v>46013</v>
      </c>
      <c r="B206">
        <f t="shared" si="18"/>
        <v>2025</v>
      </c>
      <c r="C206">
        <f t="shared" si="19"/>
        <v>12</v>
      </c>
      <c r="D206" t="str">
        <f t="shared" si="20"/>
        <v>December</v>
      </c>
      <c r="E206" t="str">
        <f t="shared" si="23"/>
        <v>Q4</v>
      </c>
      <c r="F206" t="str">
        <f t="shared" si="21"/>
        <v>Monday</v>
      </c>
      <c r="G206" t="str">
        <f t="shared" si="22"/>
        <v>No</v>
      </c>
    </row>
    <row r="207" spans="1:7" x14ac:dyDescent="0.3">
      <c r="A207" s="2">
        <v>46014</v>
      </c>
      <c r="B207">
        <f t="shared" si="18"/>
        <v>2025</v>
      </c>
      <c r="C207">
        <f t="shared" si="19"/>
        <v>12</v>
      </c>
      <c r="D207" t="str">
        <f t="shared" si="20"/>
        <v>December</v>
      </c>
      <c r="E207" t="str">
        <f t="shared" si="23"/>
        <v>Q4</v>
      </c>
      <c r="F207" t="str">
        <f t="shared" si="21"/>
        <v>Tuesday</v>
      </c>
      <c r="G207" t="str">
        <f t="shared" si="22"/>
        <v>No</v>
      </c>
    </row>
    <row r="208" spans="1:7" x14ac:dyDescent="0.3">
      <c r="A208" s="2">
        <v>46015</v>
      </c>
      <c r="B208">
        <f t="shared" si="18"/>
        <v>2025</v>
      </c>
      <c r="C208">
        <f t="shared" si="19"/>
        <v>12</v>
      </c>
      <c r="D208" t="str">
        <f t="shared" si="20"/>
        <v>December</v>
      </c>
      <c r="E208" t="str">
        <f t="shared" si="23"/>
        <v>Q4</v>
      </c>
      <c r="F208" t="str">
        <f t="shared" si="21"/>
        <v>Wednesday</v>
      </c>
      <c r="G208" t="str">
        <f t="shared" si="22"/>
        <v>No</v>
      </c>
    </row>
    <row r="209" spans="1:7" x14ac:dyDescent="0.3">
      <c r="A209" s="2">
        <v>46016</v>
      </c>
      <c r="B209">
        <f t="shared" si="18"/>
        <v>2025</v>
      </c>
      <c r="C209">
        <f t="shared" si="19"/>
        <v>12</v>
      </c>
      <c r="D209" t="str">
        <f t="shared" si="20"/>
        <v>December</v>
      </c>
      <c r="E209" t="str">
        <f t="shared" si="23"/>
        <v>Q4</v>
      </c>
      <c r="F209" t="str">
        <f t="shared" si="21"/>
        <v>Thursday</v>
      </c>
      <c r="G209" t="str">
        <f t="shared" si="22"/>
        <v>No</v>
      </c>
    </row>
    <row r="210" spans="1:7" x14ac:dyDescent="0.3">
      <c r="A210" s="2">
        <v>46017</v>
      </c>
      <c r="B210">
        <f t="shared" si="18"/>
        <v>2025</v>
      </c>
      <c r="C210">
        <f t="shared" si="19"/>
        <v>12</v>
      </c>
      <c r="D210" t="str">
        <f t="shared" si="20"/>
        <v>December</v>
      </c>
      <c r="E210" t="str">
        <f t="shared" si="23"/>
        <v>Q4</v>
      </c>
      <c r="F210" t="str">
        <f t="shared" si="21"/>
        <v>Friday</v>
      </c>
      <c r="G210" t="str">
        <f t="shared" si="22"/>
        <v>No</v>
      </c>
    </row>
    <row r="211" spans="1:7" x14ac:dyDescent="0.3">
      <c r="A211" s="2">
        <v>46018</v>
      </c>
      <c r="B211">
        <f t="shared" si="18"/>
        <v>2025</v>
      </c>
      <c r="C211">
        <f t="shared" si="19"/>
        <v>12</v>
      </c>
      <c r="D211" t="str">
        <f t="shared" si="20"/>
        <v>December</v>
      </c>
      <c r="E211" t="str">
        <f t="shared" si="23"/>
        <v>Q4</v>
      </c>
      <c r="F211" t="str">
        <f t="shared" si="21"/>
        <v>Saturday</v>
      </c>
      <c r="G211" t="str">
        <f t="shared" si="22"/>
        <v>Yes</v>
      </c>
    </row>
    <row r="212" spans="1:7" x14ac:dyDescent="0.3">
      <c r="A212" s="2">
        <v>46019</v>
      </c>
      <c r="B212">
        <f t="shared" si="18"/>
        <v>2025</v>
      </c>
      <c r="C212">
        <f t="shared" si="19"/>
        <v>12</v>
      </c>
      <c r="D212" t="str">
        <f t="shared" si="20"/>
        <v>December</v>
      </c>
      <c r="E212" t="str">
        <f t="shared" si="23"/>
        <v>Q4</v>
      </c>
      <c r="F212" t="str">
        <f t="shared" si="21"/>
        <v>Sunday</v>
      </c>
      <c r="G212" t="str">
        <f t="shared" si="22"/>
        <v>Yes</v>
      </c>
    </row>
    <row r="213" spans="1:7" x14ac:dyDescent="0.3">
      <c r="A213" s="2">
        <v>46020</v>
      </c>
      <c r="B213">
        <f t="shared" si="18"/>
        <v>2025</v>
      </c>
      <c r="C213">
        <f t="shared" si="19"/>
        <v>12</v>
      </c>
      <c r="D213" t="str">
        <f t="shared" si="20"/>
        <v>December</v>
      </c>
      <c r="E213" t="str">
        <f t="shared" si="23"/>
        <v>Q4</v>
      </c>
      <c r="F213" t="str">
        <f t="shared" si="21"/>
        <v>Monday</v>
      </c>
      <c r="G213" t="str">
        <f t="shared" si="22"/>
        <v>No</v>
      </c>
    </row>
    <row r="214" spans="1:7" x14ac:dyDescent="0.3">
      <c r="A214" s="2">
        <v>46021</v>
      </c>
      <c r="B214">
        <f t="shared" si="18"/>
        <v>2025</v>
      </c>
      <c r="C214">
        <f t="shared" si="19"/>
        <v>12</v>
      </c>
      <c r="D214" t="str">
        <f t="shared" si="20"/>
        <v>December</v>
      </c>
      <c r="E214" t="str">
        <f t="shared" si="23"/>
        <v>Q4</v>
      </c>
      <c r="F214" t="str">
        <f t="shared" si="21"/>
        <v>Tuesday</v>
      </c>
      <c r="G214" t="str">
        <f t="shared" si="22"/>
        <v>No</v>
      </c>
    </row>
    <row r="215" spans="1:7" x14ac:dyDescent="0.3">
      <c r="A215" s="2">
        <v>46022</v>
      </c>
      <c r="B215">
        <f t="shared" si="18"/>
        <v>2025</v>
      </c>
      <c r="C215">
        <f t="shared" si="19"/>
        <v>12</v>
      </c>
      <c r="D215" t="str">
        <f t="shared" si="20"/>
        <v>December</v>
      </c>
      <c r="E215" t="str">
        <f t="shared" si="23"/>
        <v>Q4</v>
      </c>
      <c r="F215" t="str">
        <f t="shared" si="21"/>
        <v>Wednesday</v>
      </c>
      <c r="G215" t="str">
        <f t="shared" si="22"/>
        <v>No</v>
      </c>
    </row>
    <row r="216" spans="1:7" x14ac:dyDescent="0.3">
      <c r="A216" s="2"/>
    </row>
    <row r="217" spans="1:7" x14ac:dyDescent="0.3">
      <c r="A217" s="2"/>
    </row>
    <row r="218" spans="1:7" x14ac:dyDescent="0.3">
      <c r="A218" s="2"/>
    </row>
    <row r="219" spans="1:7" x14ac:dyDescent="0.3">
      <c r="A219" s="2"/>
    </row>
    <row r="220" spans="1:7" x14ac:dyDescent="0.3">
      <c r="A220" s="2"/>
    </row>
    <row r="221" spans="1:7" x14ac:dyDescent="0.3">
      <c r="A221" s="2"/>
    </row>
    <row r="222" spans="1:7" x14ac:dyDescent="0.3">
      <c r="A222" s="2"/>
    </row>
    <row r="223" spans="1:7" x14ac:dyDescent="0.3">
      <c r="A223" s="2"/>
    </row>
    <row r="224" spans="1:7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3A46-AFB0-456D-B12D-30847AA2CB33}">
  <dimension ref="A1:D146"/>
  <sheetViews>
    <sheetView tabSelected="1" topLeftCell="A34" zoomScaleNormal="100" workbookViewId="0">
      <selection activeCell="A48" sqref="A48"/>
    </sheetView>
  </sheetViews>
  <sheetFormatPr defaultRowHeight="14.4" x14ac:dyDescent="0.3"/>
  <sheetData>
    <row r="1" spans="1:4" ht="57.6" x14ac:dyDescent="0.3">
      <c r="A1" s="6" t="s">
        <v>21</v>
      </c>
      <c r="B1" s="6" t="s">
        <v>728</v>
      </c>
      <c r="C1" s="8" t="s">
        <v>41</v>
      </c>
      <c r="D1" s="8" t="s">
        <v>42</v>
      </c>
    </row>
    <row r="2" spans="1:4" x14ac:dyDescent="0.3">
      <c r="A2" t="s">
        <v>0</v>
      </c>
      <c r="B2" t="s">
        <v>727</v>
      </c>
      <c r="C2" t="s">
        <v>729</v>
      </c>
      <c r="D2" t="str">
        <f>IF(COUNTIF(Order_sheet!B:B, A2)&gt;1,"Yes","No")</f>
        <v>No</v>
      </c>
    </row>
    <row r="3" spans="1:4" x14ac:dyDescent="0.3">
      <c r="A3" t="s">
        <v>12</v>
      </c>
      <c r="B3" t="s">
        <v>727</v>
      </c>
      <c r="C3" t="s">
        <v>730</v>
      </c>
      <c r="D3" t="str">
        <f>IF(COUNTIF(Order_sheet!B:B, A3)&gt;1,"Yes","No")</f>
        <v>No</v>
      </c>
    </row>
    <row r="4" spans="1:4" x14ac:dyDescent="0.3">
      <c r="A4" s="7" t="s">
        <v>13</v>
      </c>
      <c r="B4" t="s">
        <v>727</v>
      </c>
      <c r="C4" t="s">
        <v>729</v>
      </c>
      <c r="D4" t="str">
        <f>IF(COUNTIF(Order_sheet!B:B, A4)&gt;1,"Yes","No")</f>
        <v>Yes</v>
      </c>
    </row>
    <row r="5" spans="1:4" x14ac:dyDescent="0.3">
      <c r="A5" s="7" t="s">
        <v>14</v>
      </c>
      <c r="B5" t="s">
        <v>727</v>
      </c>
      <c r="C5" t="s">
        <v>729</v>
      </c>
      <c r="D5" t="str">
        <f>IF(COUNTIF(Order_sheet!B:B, A5)&gt;1,"Yes","No")</f>
        <v>No</v>
      </c>
    </row>
    <row r="6" spans="1:4" x14ac:dyDescent="0.3">
      <c r="A6" s="7" t="s">
        <v>15</v>
      </c>
      <c r="B6" t="s">
        <v>727</v>
      </c>
      <c r="C6" t="s">
        <v>729</v>
      </c>
      <c r="D6" t="str">
        <f>IF(COUNTIF(Order_sheet!B:B, A6)&gt;1,"Yes","No")</f>
        <v>No</v>
      </c>
    </row>
    <row r="7" spans="1:4" x14ac:dyDescent="0.3">
      <c r="A7" s="7" t="s">
        <v>16</v>
      </c>
      <c r="B7" t="s">
        <v>727</v>
      </c>
      <c r="C7" t="s">
        <v>729</v>
      </c>
      <c r="D7" t="str">
        <f>IF(COUNTIF(Order_sheet!B:B, A7)&gt;1,"Yes","No")</f>
        <v>No</v>
      </c>
    </row>
    <row r="8" spans="1:4" x14ac:dyDescent="0.3">
      <c r="A8" s="7" t="s">
        <v>17</v>
      </c>
      <c r="B8" t="s">
        <v>727</v>
      </c>
      <c r="C8" t="s">
        <v>730</v>
      </c>
      <c r="D8" t="str">
        <f>IF(COUNTIF(Order_sheet!B:B, A8)&gt;1,"Yes","No")</f>
        <v>No</v>
      </c>
    </row>
    <row r="9" spans="1:4" x14ac:dyDescent="0.3">
      <c r="A9" s="7" t="s">
        <v>18</v>
      </c>
      <c r="B9" t="s">
        <v>726</v>
      </c>
      <c r="C9" t="s">
        <v>729</v>
      </c>
      <c r="D9" t="str">
        <f>IF(COUNTIF(Order_sheet!B:B, A9)&gt;1,"Yes","No")</f>
        <v>No</v>
      </c>
    </row>
    <row r="10" spans="1:4" x14ac:dyDescent="0.3">
      <c r="A10" s="7" t="s">
        <v>19</v>
      </c>
      <c r="B10" t="s">
        <v>727</v>
      </c>
      <c r="C10" t="s">
        <v>730</v>
      </c>
      <c r="D10" t="str">
        <f>IF(COUNTIF(Order_sheet!B:B, A10)&gt;1,"Yes","No")</f>
        <v>No</v>
      </c>
    </row>
    <row r="11" spans="1:4" x14ac:dyDescent="0.3">
      <c r="A11" t="s">
        <v>55</v>
      </c>
      <c r="B11" t="s">
        <v>726</v>
      </c>
      <c r="C11" t="s">
        <v>729</v>
      </c>
      <c r="D11" t="str">
        <f>IF(COUNTIF(Order_sheet!B:B, A11)&gt;1,"Yes","No")</f>
        <v>No</v>
      </c>
    </row>
    <row r="12" spans="1:4" x14ac:dyDescent="0.3">
      <c r="A12" t="s">
        <v>56</v>
      </c>
      <c r="B12" t="s">
        <v>727</v>
      </c>
      <c r="C12" t="s">
        <v>729</v>
      </c>
      <c r="D12" t="str">
        <f>IF(COUNTIF(Order_sheet!B:B, A12)&gt;1,"Yes","No")</f>
        <v>No</v>
      </c>
    </row>
    <row r="13" spans="1:4" x14ac:dyDescent="0.3">
      <c r="A13" t="s">
        <v>57</v>
      </c>
      <c r="B13" t="s">
        <v>726</v>
      </c>
      <c r="C13" t="s">
        <v>729</v>
      </c>
      <c r="D13" t="str">
        <f>IF(COUNTIF(Order_sheet!B:B, A13)&gt;1,"Yes","No")</f>
        <v>No</v>
      </c>
    </row>
    <row r="14" spans="1:4" x14ac:dyDescent="0.3">
      <c r="A14" t="s">
        <v>58</v>
      </c>
      <c r="B14" t="s">
        <v>726</v>
      </c>
      <c r="C14" t="s">
        <v>729</v>
      </c>
      <c r="D14" t="str">
        <f>IF(COUNTIF(Order_sheet!B:B, A14)&gt;1,"Yes","No")</f>
        <v>No</v>
      </c>
    </row>
    <row r="15" spans="1:4" x14ac:dyDescent="0.3">
      <c r="A15" t="s">
        <v>59</v>
      </c>
      <c r="B15" t="s">
        <v>726</v>
      </c>
      <c r="C15" t="s">
        <v>730</v>
      </c>
      <c r="D15" t="str">
        <f>IF(COUNTIF(Order_sheet!B:B, A15)&gt;1,"Yes","No")</f>
        <v>No</v>
      </c>
    </row>
    <row r="16" spans="1:4" x14ac:dyDescent="0.3">
      <c r="A16" t="s">
        <v>60</v>
      </c>
      <c r="B16" t="s">
        <v>727</v>
      </c>
      <c r="C16" t="s">
        <v>729</v>
      </c>
      <c r="D16" t="str">
        <f>IF(COUNTIF(Order_sheet!B:B, A16)&gt;1,"Yes","No")</f>
        <v>No</v>
      </c>
    </row>
    <row r="17" spans="1:4" x14ac:dyDescent="0.3">
      <c r="A17" t="s">
        <v>71</v>
      </c>
      <c r="B17" t="s">
        <v>726</v>
      </c>
      <c r="C17" t="s">
        <v>729</v>
      </c>
      <c r="D17" t="str">
        <f>IF(COUNTIF(Order_sheet!B:B, A17)&gt;1,"Yes","No")</f>
        <v>No</v>
      </c>
    </row>
    <row r="18" spans="1:4" x14ac:dyDescent="0.3">
      <c r="A18" t="s">
        <v>72</v>
      </c>
      <c r="B18" t="s">
        <v>727</v>
      </c>
      <c r="C18" t="s">
        <v>729</v>
      </c>
      <c r="D18" t="str">
        <f>IF(COUNTIF(Order_sheet!B:B, A18)&gt;1,"Yes","No")</f>
        <v>No</v>
      </c>
    </row>
    <row r="19" spans="1:4" x14ac:dyDescent="0.3">
      <c r="A19" t="s">
        <v>73</v>
      </c>
      <c r="B19" t="s">
        <v>727</v>
      </c>
      <c r="C19" t="s">
        <v>730</v>
      </c>
      <c r="D19" t="str">
        <f>IF(COUNTIF(Order_sheet!B:B, A19)&gt;1,"Yes","No")</f>
        <v>No</v>
      </c>
    </row>
    <row r="20" spans="1:4" x14ac:dyDescent="0.3">
      <c r="A20" s="7" t="s">
        <v>74</v>
      </c>
      <c r="B20" t="s">
        <v>727</v>
      </c>
      <c r="C20" t="s">
        <v>729</v>
      </c>
      <c r="D20" t="str">
        <f>IF(COUNTIF(Order_sheet!B:B, A20)&gt;1,"Yes","No")</f>
        <v>Yes</v>
      </c>
    </row>
    <row r="21" spans="1:4" x14ac:dyDescent="0.3">
      <c r="A21" t="s">
        <v>75</v>
      </c>
      <c r="B21" t="s">
        <v>726</v>
      </c>
      <c r="C21" t="s">
        <v>729</v>
      </c>
      <c r="D21" t="str">
        <f>IF(COUNTIF(Order_sheet!B:B, A21)&gt;1,"Yes","No")</f>
        <v>No</v>
      </c>
    </row>
    <row r="22" spans="1:4" x14ac:dyDescent="0.3">
      <c r="A22" t="s">
        <v>81</v>
      </c>
      <c r="B22" t="s">
        <v>726</v>
      </c>
      <c r="C22" t="s">
        <v>729</v>
      </c>
      <c r="D22" t="str">
        <f>IF(COUNTIF(Order_sheet!B:B, A22)&gt;1,"Yes","No")</f>
        <v>No</v>
      </c>
    </row>
    <row r="23" spans="1:4" x14ac:dyDescent="0.3">
      <c r="A23" t="s">
        <v>82</v>
      </c>
      <c r="B23" t="s">
        <v>726</v>
      </c>
      <c r="C23" t="s">
        <v>730</v>
      </c>
      <c r="D23" t="str">
        <f>IF(COUNTIF(Order_sheet!B:B, A23)&gt;1,"Yes","No")</f>
        <v>No</v>
      </c>
    </row>
    <row r="24" spans="1:4" x14ac:dyDescent="0.3">
      <c r="A24" t="s">
        <v>83</v>
      </c>
      <c r="B24" t="s">
        <v>726</v>
      </c>
      <c r="C24" t="s">
        <v>730</v>
      </c>
      <c r="D24" t="str">
        <f>IF(COUNTIF(Order_sheet!B:B, A24)&gt;1,"Yes","No")</f>
        <v>No</v>
      </c>
    </row>
    <row r="25" spans="1:4" x14ac:dyDescent="0.3">
      <c r="A25" t="s">
        <v>84</v>
      </c>
      <c r="B25" t="s">
        <v>726</v>
      </c>
      <c r="C25" t="s">
        <v>729</v>
      </c>
      <c r="D25" t="str">
        <f>IF(COUNTIF(Order_sheet!B:B, A25)&gt;1,"Yes","No")</f>
        <v>No</v>
      </c>
    </row>
    <row r="26" spans="1:4" x14ac:dyDescent="0.3">
      <c r="A26" t="s">
        <v>85</v>
      </c>
      <c r="B26" t="s">
        <v>727</v>
      </c>
      <c r="C26" t="s">
        <v>730</v>
      </c>
      <c r="D26" t="str">
        <f>IF(COUNTIF(Order_sheet!B:B, A26)&gt;1,"Yes","No")</f>
        <v>No</v>
      </c>
    </row>
    <row r="27" spans="1:4" x14ac:dyDescent="0.3">
      <c r="A27" t="s">
        <v>93</v>
      </c>
      <c r="B27" t="s">
        <v>726</v>
      </c>
      <c r="C27" t="s">
        <v>729</v>
      </c>
      <c r="D27" t="str">
        <f>IF(COUNTIF(Order_sheet!B:B, A27)&gt;1,"Yes","No")</f>
        <v>No</v>
      </c>
    </row>
    <row r="28" spans="1:4" x14ac:dyDescent="0.3">
      <c r="A28" t="s">
        <v>87</v>
      </c>
      <c r="B28" t="s">
        <v>727</v>
      </c>
      <c r="C28" t="s">
        <v>729</v>
      </c>
      <c r="D28" t="str">
        <f>IF(COUNTIF(Order_sheet!B:B, A28)&gt;1,"Yes","No")</f>
        <v>No</v>
      </c>
    </row>
    <row r="29" spans="1:4" x14ac:dyDescent="0.3">
      <c r="A29" t="s">
        <v>88</v>
      </c>
      <c r="B29" t="s">
        <v>727</v>
      </c>
      <c r="C29" t="s">
        <v>730</v>
      </c>
      <c r="D29" t="str">
        <f>IF(COUNTIF(Order_sheet!B:B, A29)&gt;1,"Yes","No")</f>
        <v>No</v>
      </c>
    </row>
    <row r="30" spans="1:4" x14ac:dyDescent="0.3">
      <c r="A30" t="s">
        <v>89</v>
      </c>
      <c r="B30" t="s">
        <v>726</v>
      </c>
      <c r="C30" t="s">
        <v>729</v>
      </c>
      <c r="D30" t="str">
        <f>IF(COUNTIF(Order_sheet!B:B, A30)&gt;1,"Yes","No")</f>
        <v>No</v>
      </c>
    </row>
    <row r="31" spans="1:4" x14ac:dyDescent="0.3">
      <c r="A31" t="s">
        <v>90</v>
      </c>
      <c r="B31" t="s">
        <v>727</v>
      </c>
      <c r="C31" t="s">
        <v>729</v>
      </c>
      <c r="D31" t="str">
        <f>IF(COUNTIF(Order_sheet!B:B, A31)&gt;1,"Yes","No")</f>
        <v>No</v>
      </c>
    </row>
    <row r="32" spans="1:4" x14ac:dyDescent="0.3">
      <c r="A32" t="s">
        <v>91</v>
      </c>
      <c r="B32" t="s">
        <v>727</v>
      </c>
      <c r="C32" t="s">
        <v>729</v>
      </c>
      <c r="D32" t="str">
        <f>IF(COUNTIF(Order_sheet!B:B, A32)&gt;1,"Yes","No")</f>
        <v>No</v>
      </c>
    </row>
    <row r="33" spans="1:4" x14ac:dyDescent="0.3">
      <c r="A33" t="s">
        <v>95</v>
      </c>
      <c r="B33" t="s">
        <v>727</v>
      </c>
      <c r="C33" t="s">
        <v>729</v>
      </c>
      <c r="D33" t="str">
        <f>IF(COUNTIF(Order_sheet!B:B, A33)&gt;1,"Yes","No")</f>
        <v>No</v>
      </c>
    </row>
    <row r="34" spans="1:4" x14ac:dyDescent="0.3">
      <c r="A34" t="s">
        <v>96</v>
      </c>
      <c r="B34" t="s">
        <v>727</v>
      </c>
      <c r="C34" t="s">
        <v>730</v>
      </c>
      <c r="D34" t="str">
        <f>IF(COUNTIF(Order_sheet!B:B, A34)&gt;1,"Yes","No")</f>
        <v>No</v>
      </c>
    </row>
    <row r="35" spans="1:4" x14ac:dyDescent="0.3">
      <c r="A35" t="s">
        <v>97</v>
      </c>
      <c r="B35" t="s">
        <v>727</v>
      </c>
      <c r="C35" t="s">
        <v>729</v>
      </c>
      <c r="D35" t="str">
        <f>IF(COUNTIF(Order_sheet!B:B, A35)&gt;1,"Yes","No")</f>
        <v>No</v>
      </c>
    </row>
    <row r="36" spans="1:4" x14ac:dyDescent="0.3">
      <c r="A36" t="s">
        <v>98</v>
      </c>
      <c r="B36" t="s">
        <v>727</v>
      </c>
      <c r="C36" t="s">
        <v>730</v>
      </c>
      <c r="D36" t="str">
        <f>IF(COUNTIF(Order_sheet!B:B, A36)&gt;1,"Yes","No")</f>
        <v>No</v>
      </c>
    </row>
    <row r="37" spans="1:4" x14ac:dyDescent="0.3">
      <c r="A37" t="s">
        <v>99</v>
      </c>
      <c r="B37" t="s">
        <v>727</v>
      </c>
      <c r="C37" t="s">
        <v>730</v>
      </c>
      <c r="D37" t="str">
        <f>IF(COUNTIF(Order_sheet!B:B, A37)&gt;1,"Yes","No")</f>
        <v>No</v>
      </c>
    </row>
    <row r="38" spans="1:4" x14ac:dyDescent="0.3">
      <c r="A38" t="s">
        <v>100</v>
      </c>
      <c r="B38" t="s">
        <v>727</v>
      </c>
      <c r="C38" t="s">
        <v>729</v>
      </c>
      <c r="D38" t="str">
        <f>IF(COUNTIF(Order_sheet!B:B, A38)&gt;1,"Yes","No")</f>
        <v>No</v>
      </c>
    </row>
    <row r="39" spans="1:4" x14ac:dyDescent="0.3">
      <c r="A39" t="s">
        <v>101</v>
      </c>
      <c r="B39" t="s">
        <v>727</v>
      </c>
      <c r="C39" t="s">
        <v>729</v>
      </c>
      <c r="D39" t="str">
        <f>IF(COUNTIF(Order_sheet!B:B, A39)&gt;1,"Yes","No")</f>
        <v>No</v>
      </c>
    </row>
    <row r="40" spans="1:4" x14ac:dyDescent="0.3">
      <c r="A40" t="s">
        <v>102</v>
      </c>
      <c r="B40" t="s">
        <v>727</v>
      </c>
      <c r="C40" t="s">
        <v>730</v>
      </c>
      <c r="D40" t="str">
        <f>IF(COUNTIF(Order_sheet!B:B, A40)&gt;1,"Yes","No")</f>
        <v>No</v>
      </c>
    </row>
    <row r="41" spans="1:4" x14ac:dyDescent="0.3">
      <c r="A41" t="s">
        <v>103</v>
      </c>
      <c r="B41" t="s">
        <v>727</v>
      </c>
      <c r="C41" t="s">
        <v>730</v>
      </c>
      <c r="D41" t="str">
        <f>IF(COUNTIF(Order_sheet!B:B, A41)&gt;1,"Yes","No")</f>
        <v>No</v>
      </c>
    </row>
    <row r="42" spans="1:4" x14ac:dyDescent="0.3">
      <c r="A42" t="s">
        <v>104</v>
      </c>
      <c r="B42" t="s">
        <v>727</v>
      </c>
      <c r="C42" t="s">
        <v>729</v>
      </c>
      <c r="D42" t="str">
        <f>IF(COUNTIF(Order_sheet!B:B, A42)&gt;1,"Yes","No")</f>
        <v>No</v>
      </c>
    </row>
    <row r="43" spans="1:4" x14ac:dyDescent="0.3">
      <c r="A43" t="s">
        <v>105</v>
      </c>
      <c r="B43" t="s">
        <v>727</v>
      </c>
      <c r="C43" t="s">
        <v>729</v>
      </c>
      <c r="D43" t="str">
        <f>IF(COUNTIF(Order_sheet!B:B, A43)&gt;1,"Yes","No")</f>
        <v>No</v>
      </c>
    </row>
    <row r="44" spans="1:4" x14ac:dyDescent="0.3">
      <c r="A44" t="s">
        <v>106</v>
      </c>
      <c r="B44" t="s">
        <v>726</v>
      </c>
      <c r="C44" t="s">
        <v>729</v>
      </c>
      <c r="D44" t="str">
        <f>IF(COUNTIF(Order_sheet!B:B, A44)&gt;1,"Yes","No")</f>
        <v>No</v>
      </c>
    </row>
    <row r="45" spans="1:4" x14ac:dyDescent="0.3">
      <c r="A45" t="s">
        <v>107</v>
      </c>
      <c r="B45" t="s">
        <v>727</v>
      </c>
      <c r="C45" t="s">
        <v>729</v>
      </c>
      <c r="D45" t="str">
        <f>IF(COUNTIF(Order_sheet!B:B, A45)&gt;1,"Yes","No")</f>
        <v>No</v>
      </c>
    </row>
    <row r="46" spans="1:4" x14ac:dyDescent="0.3">
      <c r="A46" t="s">
        <v>108</v>
      </c>
      <c r="B46" t="s">
        <v>727</v>
      </c>
      <c r="C46" t="s">
        <v>730</v>
      </c>
      <c r="D46" t="str">
        <f>IF(COUNTIF(Order_sheet!B:B, A46)&gt;1,"Yes","No")</f>
        <v>No</v>
      </c>
    </row>
    <row r="47" spans="1:4" x14ac:dyDescent="0.3">
      <c r="A47" t="s">
        <v>109</v>
      </c>
      <c r="B47" t="s">
        <v>726</v>
      </c>
      <c r="C47" t="s">
        <v>729</v>
      </c>
      <c r="D47" t="str">
        <f>IF(COUNTIF(Order_sheet!B:B, A47)&gt;1,"Yes","No")</f>
        <v>No</v>
      </c>
    </row>
    <row r="48" spans="1:4" x14ac:dyDescent="0.3">
      <c r="A48" s="7" t="s">
        <v>110</v>
      </c>
      <c r="B48" t="s">
        <v>727</v>
      </c>
      <c r="C48" t="s">
        <v>729</v>
      </c>
      <c r="D48" t="str">
        <f>IF(COUNTIF(Order_sheet!B:B, A48)&gt;1,"Yes","No")</f>
        <v>Yes</v>
      </c>
    </row>
    <row r="49" spans="1:4" x14ac:dyDescent="0.3">
      <c r="A49" t="s">
        <v>111</v>
      </c>
      <c r="B49" t="s">
        <v>727</v>
      </c>
      <c r="C49" t="s">
        <v>729</v>
      </c>
      <c r="D49" t="str">
        <f>IF(COUNTIF(Order_sheet!B:B, A49)&gt;1,"Yes","No")</f>
        <v>No</v>
      </c>
    </row>
    <row r="50" spans="1:4" x14ac:dyDescent="0.3">
      <c r="A50" t="s">
        <v>112</v>
      </c>
      <c r="B50" t="s">
        <v>726</v>
      </c>
      <c r="C50" t="s">
        <v>730</v>
      </c>
      <c r="D50" t="str">
        <f>IF(COUNTIF(Order_sheet!B:B, A50)&gt;1,"Yes","No")</f>
        <v>No</v>
      </c>
    </row>
    <row r="51" spans="1:4" x14ac:dyDescent="0.3">
      <c r="A51" t="s">
        <v>113</v>
      </c>
      <c r="B51" t="s">
        <v>726</v>
      </c>
      <c r="C51" t="s">
        <v>729</v>
      </c>
      <c r="D51" t="str">
        <f>IF(COUNTIF(Order_sheet!B:B, A51)&gt;1,"Yes","No")</f>
        <v>No</v>
      </c>
    </row>
    <row r="52" spans="1:4" x14ac:dyDescent="0.3">
      <c r="A52" t="s">
        <v>114</v>
      </c>
      <c r="B52" t="s">
        <v>727</v>
      </c>
      <c r="C52" t="s">
        <v>730</v>
      </c>
      <c r="D52" t="str">
        <f>IF(COUNTIF(Order_sheet!B:B, A52)&gt;1,"Yes","No")</f>
        <v>No</v>
      </c>
    </row>
    <row r="53" spans="1:4" x14ac:dyDescent="0.3">
      <c r="A53" s="7" t="s">
        <v>115</v>
      </c>
      <c r="B53" t="s">
        <v>727</v>
      </c>
      <c r="C53" t="s">
        <v>729</v>
      </c>
      <c r="D53" t="str">
        <f>IF(COUNTIF(Order_sheet!B:B, A53)&gt;1,"Yes","No")</f>
        <v>Yes</v>
      </c>
    </row>
    <row r="54" spans="1:4" x14ac:dyDescent="0.3">
      <c r="A54" t="s">
        <v>116</v>
      </c>
      <c r="B54" t="s">
        <v>726</v>
      </c>
      <c r="C54" t="s">
        <v>730</v>
      </c>
      <c r="D54" t="str">
        <f>IF(COUNTIF(Order_sheet!B:B, A54)&gt;1,"Yes","No")</f>
        <v>No</v>
      </c>
    </row>
    <row r="55" spans="1:4" x14ac:dyDescent="0.3">
      <c r="A55" t="s">
        <v>117</v>
      </c>
      <c r="B55" t="s">
        <v>727</v>
      </c>
      <c r="C55" t="s">
        <v>729</v>
      </c>
      <c r="D55" t="str">
        <f>IF(COUNTIF(Order_sheet!B:B, A55)&gt;1,"Yes","No")</f>
        <v>No</v>
      </c>
    </row>
    <row r="56" spans="1:4" x14ac:dyDescent="0.3">
      <c r="A56" t="s">
        <v>118</v>
      </c>
      <c r="B56" t="s">
        <v>727</v>
      </c>
      <c r="C56" t="s">
        <v>729</v>
      </c>
      <c r="D56" t="str">
        <f>IF(COUNTIF(Order_sheet!B:B, A56)&gt;1,"Yes","No")</f>
        <v>No</v>
      </c>
    </row>
    <row r="57" spans="1:4" x14ac:dyDescent="0.3">
      <c r="A57" t="s">
        <v>119</v>
      </c>
      <c r="B57" t="s">
        <v>727</v>
      </c>
      <c r="C57" t="s">
        <v>730</v>
      </c>
      <c r="D57" t="str">
        <f>IF(COUNTIF(Order_sheet!B:B, A57)&gt;1,"Yes","No")</f>
        <v>No</v>
      </c>
    </row>
    <row r="58" spans="1:4" x14ac:dyDescent="0.3">
      <c r="A58" t="s">
        <v>120</v>
      </c>
      <c r="B58" t="s">
        <v>727</v>
      </c>
      <c r="C58" t="s">
        <v>730</v>
      </c>
      <c r="D58" t="str">
        <f>IF(COUNTIF(Order_sheet!B:B, A58)&gt;1,"Yes","No")</f>
        <v>No</v>
      </c>
    </row>
    <row r="59" spans="1:4" x14ac:dyDescent="0.3">
      <c r="A59" t="s">
        <v>121</v>
      </c>
      <c r="B59" t="s">
        <v>727</v>
      </c>
      <c r="C59" t="s">
        <v>729</v>
      </c>
      <c r="D59" t="str">
        <f>IF(COUNTIF(Order_sheet!B:B, A59)&gt;1,"Yes","No")</f>
        <v>No</v>
      </c>
    </row>
    <row r="60" spans="1:4" x14ac:dyDescent="0.3">
      <c r="A60" t="s">
        <v>122</v>
      </c>
      <c r="B60" t="s">
        <v>726</v>
      </c>
      <c r="C60" t="s">
        <v>729</v>
      </c>
      <c r="D60" t="str">
        <f>IF(COUNTIF(Order_sheet!B:B, A60)&gt;1,"Yes","No")</f>
        <v>No</v>
      </c>
    </row>
    <row r="61" spans="1:4" x14ac:dyDescent="0.3">
      <c r="A61" t="s">
        <v>123</v>
      </c>
      <c r="B61" t="s">
        <v>726</v>
      </c>
      <c r="C61" t="s">
        <v>729</v>
      </c>
      <c r="D61" t="str">
        <f>IF(COUNTIF(Order_sheet!B:B, A61)&gt;1,"Yes","No")</f>
        <v>No</v>
      </c>
    </row>
    <row r="62" spans="1:4" x14ac:dyDescent="0.3">
      <c r="A62" t="s">
        <v>124</v>
      </c>
      <c r="B62" t="s">
        <v>727</v>
      </c>
      <c r="C62" t="s">
        <v>729</v>
      </c>
      <c r="D62" t="str">
        <f>IF(COUNTIF(Order_sheet!B:B, A62)&gt;1,"Yes","No")</f>
        <v>No</v>
      </c>
    </row>
    <row r="63" spans="1:4" x14ac:dyDescent="0.3">
      <c r="A63" t="s">
        <v>125</v>
      </c>
      <c r="B63" t="s">
        <v>727</v>
      </c>
      <c r="C63" t="s">
        <v>730</v>
      </c>
      <c r="D63" t="str">
        <f>IF(COUNTIF(Order_sheet!B:B, A63)&gt;1,"Yes","No")</f>
        <v>No</v>
      </c>
    </row>
    <row r="64" spans="1:4" x14ac:dyDescent="0.3">
      <c r="A64" t="s">
        <v>126</v>
      </c>
      <c r="B64" t="s">
        <v>726</v>
      </c>
      <c r="C64" t="s">
        <v>729</v>
      </c>
      <c r="D64" t="str">
        <f>IF(COUNTIF(Order_sheet!B:B, A64)&gt;1,"Yes","No")</f>
        <v>No</v>
      </c>
    </row>
    <row r="65" spans="1:4" x14ac:dyDescent="0.3">
      <c r="A65" t="s">
        <v>127</v>
      </c>
      <c r="B65" t="s">
        <v>727</v>
      </c>
      <c r="C65" t="s">
        <v>730</v>
      </c>
      <c r="D65" t="str">
        <f>IF(COUNTIF(Order_sheet!B:B, A65)&gt;1,"Yes","No")</f>
        <v>No</v>
      </c>
    </row>
    <row r="66" spans="1:4" x14ac:dyDescent="0.3">
      <c r="A66" t="s">
        <v>128</v>
      </c>
      <c r="B66" t="s">
        <v>727</v>
      </c>
      <c r="C66" t="s">
        <v>729</v>
      </c>
      <c r="D66" t="str">
        <f>IF(COUNTIF(Order_sheet!B:B, A66)&gt;1,"Yes","No")</f>
        <v>No</v>
      </c>
    </row>
    <row r="67" spans="1:4" x14ac:dyDescent="0.3">
      <c r="A67" s="7" t="s">
        <v>129</v>
      </c>
      <c r="B67" t="s">
        <v>727</v>
      </c>
      <c r="C67" t="s">
        <v>730</v>
      </c>
      <c r="D67" t="str">
        <f>IF(COUNTIF(Order_sheet!B:B, A67)&gt;1,"Yes","No")</f>
        <v>No</v>
      </c>
    </row>
    <row r="68" spans="1:4" x14ac:dyDescent="0.3">
      <c r="A68" t="s">
        <v>130</v>
      </c>
      <c r="B68" t="s">
        <v>727</v>
      </c>
      <c r="C68" t="s">
        <v>730</v>
      </c>
      <c r="D68" t="str">
        <f>IF(COUNTIF(Order_sheet!B:B, A68)&gt;1,"Yes","No")</f>
        <v>No</v>
      </c>
    </row>
    <row r="69" spans="1:4" x14ac:dyDescent="0.3">
      <c r="A69" t="s">
        <v>131</v>
      </c>
      <c r="B69" t="s">
        <v>727</v>
      </c>
      <c r="C69" t="s">
        <v>729</v>
      </c>
      <c r="D69" t="str">
        <f>IF(COUNTIF(Order_sheet!B:B, A69)&gt;1,"Yes","No")</f>
        <v>No</v>
      </c>
    </row>
    <row r="70" spans="1:4" x14ac:dyDescent="0.3">
      <c r="A70" t="s">
        <v>132</v>
      </c>
      <c r="B70" t="s">
        <v>726</v>
      </c>
      <c r="C70" t="s">
        <v>729</v>
      </c>
      <c r="D70" t="str">
        <f>IF(COUNTIF(Order_sheet!B:B, A70)&gt;1,"Yes","No")</f>
        <v>No</v>
      </c>
    </row>
    <row r="71" spans="1:4" x14ac:dyDescent="0.3">
      <c r="A71" t="s">
        <v>150</v>
      </c>
      <c r="B71" t="s">
        <v>727</v>
      </c>
      <c r="C71" t="s">
        <v>729</v>
      </c>
      <c r="D71" t="str">
        <f>IF(COUNTIF(Order_sheet!B:B, A71)&gt;1,"Yes","No")</f>
        <v>No</v>
      </c>
    </row>
    <row r="72" spans="1:4" x14ac:dyDescent="0.3">
      <c r="A72" t="s">
        <v>151</v>
      </c>
      <c r="B72" t="s">
        <v>727</v>
      </c>
      <c r="C72" t="s">
        <v>729</v>
      </c>
      <c r="D72" t="str">
        <f>IF(COUNTIF(Order_sheet!B:B, A72)&gt;1,"Yes","No")</f>
        <v>No</v>
      </c>
    </row>
    <row r="73" spans="1:4" x14ac:dyDescent="0.3">
      <c r="A73" t="s">
        <v>208</v>
      </c>
      <c r="B73" t="s">
        <v>727</v>
      </c>
      <c r="C73" t="s">
        <v>729</v>
      </c>
      <c r="D73" t="str">
        <f>IF(COUNTIF(Order_sheet!B:B, A73)&gt;1,"Yes","No")</f>
        <v>No</v>
      </c>
    </row>
    <row r="74" spans="1:4" x14ac:dyDescent="0.3">
      <c r="A74" t="s">
        <v>209</v>
      </c>
      <c r="B74" t="s">
        <v>726</v>
      </c>
      <c r="C74" t="s">
        <v>729</v>
      </c>
      <c r="D74" t="str">
        <f>IF(COUNTIF(Order_sheet!B:B, A74)&gt;1,"Yes","No")</f>
        <v>No</v>
      </c>
    </row>
    <row r="75" spans="1:4" x14ac:dyDescent="0.3">
      <c r="A75" t="s">
        <v>210</v>
      </c>
      <c r="B75" t="s">
        <v>727</v>
      </c>
      <c r="C75" t="s">
        <v>729</v>
      </c>
      <c r="D75" t="str">
        <f>IF(COUNTIF(Order_sheet!B:B, A75)&gt;1,"Yes","No")</f>
        <v>No</v>
      </c>
    </row>
    <row r="76" spans="1:4" x14ac:dyDescent="0.3">
      <c r="A76" t="s">
        <v>211</v>
      </c>
      <c r="B76" t="s">
        <v>727</v>
      </c>
      <c r="C76" t="s">
        <v>729</v>
      </c>
      <c r="D76" t="str">
        <f>IF(COUNTIF(Order_sheet!B:B, A76)&gt;1,"Yes","No")</f>
        <v>No</v>
      </c>
    </row>
    <row r="77" spans="1:4" x14ac:dyDescent="0.3">
      <c r="A77" t="s">
        <v>212</v>
      </c>
      <c r="B77" t="s">
        <v>727</v>
      </c>
      <c r="C77" t="s">
        <v>729</v>
      </c>
      <c r="D77" t="str">
        <f>IF(COUNTIF(Order_sheet!B:B, A77)&gt;1,"Yes","No")</f>
        <v>No</v>
      </c>
    </row>
    <row r="78" spans="1:4" x14ac:dyDescent="0.3">
      <c r="A78" t="s">
        <v>213</v>
      </c>
      <c r="B78" t="s">
        <v>727</v>
      </c>
      <c r="C78" t="s">
        <v>729</v>
      </c>
      <c r="D78" t="str">
        <f>IF(COUNTIF(Order_sheet!B:B, A78)&gt;1,"Yes","No")</f>
        <v>No</v>
      </c>
    </row>
    <row r="79" spans="1:4" x14ac:dyDescent="0.3">
      <c r="A79" t="s">
        <v>214</v>
      </c>
      <c r="B79" t="s">
        <v>726</v>
      </c>
      <c r="C79" t="s">
        <v>730</v>
      </c>
      <c r="D79" t="str">
        <f>IF(COUNTIF(Order_sheet!B:B, A79)&gt;1,"Yes","No")</f>
        <v>No</v>
      </c>
    </row>
    <row r="80" spans="1:4" x14ac:dyDescent="0.3">
      <c r="A80" t="s">
        <v>228</v>
      </c>
      <c r="B80" t="s">
        <v>727</v>
      </c>
      <c r="C80" t="s">
        <v>729</v>
      </c>
      <c r="D80" t="str">
        <f>IF(COUNTIF(Order_sheet!B:B, A80)&gt;1,"Yes","No")</f>
        <v>No</v>
      </c>
    </row>
    <row r="81" spans="1:4" x14ac:dyDescent="0.3">
      <c r="A81" t="s">
        <v>229</v>
      </c>
      <c r="B81" t="s">
        <v>727</v>
      </c>
      <c r="C81" t="s">
        <v>729</v>
      </c>
      <c r="D81" t="str">
        <f>IF(COUNTIF(Order_sheet!B:B, A81)&gt;1,"Yes","No")</f>
        <v>No</v>
      </c>
    </row>
    <row r="82" spans="1:4" x14ac:dyDescent="0.3">
      <c r="A82" t="s">
        <v>230</v>
      </c>
      <c r="B82" t="s">
        <v>727</v>
      </c>
      <c r="C82" t="s">
        <v>729</v>
      </c>
      <c r="D82" t="str">
        <f>IF(COUNTIF(Order_sheet!B:B, A82)&gt;1,"Yes","No")</f>
        <v>No</v>
      </c>
    </row>
    <row r="83" spans="1:4" x14ac:dyDescent="0.3">
      <c r="A83" t="s">
        <v>231</v>
      </c>
      <c r="B83" t="s">
        <v>727</v>
      </c>
      <c r="C83" t="s">
        <v>729</v>
      </c>
      <c r="D83" t="str">
        <f>IF(COUNTIF(Order_sheet!B:B, A83)&gt;1,"Yes","No")</f>
        <v>No</v>
      </c>
    </row>
    <row r="84" spans="1:4" x14ac:dyDescent="0.3">
      <c r="A84" t="s">
        <v>232</v>
      </c>
      <c r="B84" t="s">
        <v>726</v>
      </c>
      <c r="C84" t="s">
        <v>730</v>
      </c>
      <c r="D84" t="str">
        <f>IF(COUNTIF(Order_sheet!B:B, A84)&gt;1,"Yes","No")</f>
        <v>No</v>
      </c>
    </row>
    <row r="85" spans="1:4" x14ac:dyDescent="0.3">
      <c r="A85" t="s">
        <v>233</v>
      </c>
      <c r="B85" t="s">
        <v>727</v>
      </c>
      <c r="C85" t="s">
        <v>729</v>
      </c>
      <c r="D85" t="str">
        <f>IF(COUNTIF(Order_sheet!B:B, A85)&gt;1,"Yes","No")</f>
        <v>No</v>
      </c>
    </row>
    <row r="86" spans="1:4" x14ac:dyDescent="0.3">
      <c r="A86" t="s">
        <v>234</v>
      </c>
      <c r="B86" t="s">
        <v>726</v>
      </c>
      <c r="C86" t="s">
        <v>730</v>
      </c>
      <c r="D86" t="str">
        <f>IF(COUNTIF(Order_sheet!B:B, A86)&gt;1,"Yes","No")</f>
        <v>No</v>
      </c>
    </row>
    <row r="87" spans="1:4" x14ac:dyDescent="0.3">
      <c r="A87" t="s">
        <v>235</v>
      </c>
      <c r="B87" t="s">
        <v>727</v>
      </c>
      <c r="C87" t="s">
        <v>729</v>
      </c>
      <c r="D87" t="str">
        <f>IF(COUNTIF(Order_sheet!B:B, A87)&gt;1,"Yes","No")</f>
        <v>No</v>
      </c>
    </row>
    <row r="88" spans="1:4" x14ac:dyDescent="0.3">
      <c r="A88" t="s">
        <v>236</v>
      </c>
      <c r="B88" t="s">
        <v>727</v>
      </c>
      <c r="C88" t="s">
        <v>730</v>
      </c>
      <c r="D88" t="str">
        <f>IF(COUNTIF(Order_sheet!B:B, A88)&gt;1,"Yes","No")</f>
        <v>No</v>
      </c>
    </row>
    <row r="89" spans="1:4" x14ac:dyDescent="0.3">
      <c r="A89" t="s">
        <v>237</v>
      </c>
      <c r="B89" t="s">
        <v>727</v>
      </c>
      <c r="C89" t="s">
        <v>729</v>
      </c>
      <c r="D89" t="str">
        <f>IF(COUNTIF(Order_sheet!B:B, A89)&gt;1,"Yes","No")</f>
        <v>No</v>
      </c>
    </row>
    <row r="90" spans="1:4" x14ac:dyDescent="0.3">
      <c r="A90" t="s">
        <v>238</v>
      </c>
      <c r="B90" t="s">
        <v>727</v>
      </c>
      <c r="C90" t="s">
        <v>729</v>
      </c>
      <c r="D90" t="str">
        <f>IF(COUNTIF(Order_sheet!B:B, A90)&gt;1,"Yes","No")</f>
        <v>No</v>
      </c>
    </row>
    <row r="91" spans="1:4" x14ac:dyDescent="0.3">
      <c r="A91" t="s">
        <v>309</v>
      </c>
      <c r="B91" t="s">
        <v>727</v>
      </c>
      <c r="C91" t="s">
        <v>730</v>
      </c>
      <c r="D91" t="str">
        <f>IF(COUNTIF(Order_sheet!B:B, A91)&gt;1,"Yes","No")</f>
        <v>No</v>
      </c>
    </row>
    <row r="92" spans="1:4" x14ac:dyDescent="0.3">
      <c r="A92" t="s">
        <v>310</v>
      </c>
      <c r="B92" t="s">
        <v>727</v>
      </c>
      <c r="C92" t="s">
        <v>729</v>
      </c>
      <c r="D92" t="str">
        <f>IF(COUNTIF(Order_sheet!B:B, A92)&gt;1,"Yes","No")</f>
        <v>No</v>
      </c>
    </row>
    <row r="93" spans="1:4" x14ac:dyDescent="0.3">
      <c r="A93" t="s">
        <v>311</v>
      </c>
      <c r="B93" t="s">
        <v>727</v>
      </c>
      <c r="C93" t="s">
        <v>730</v>
      </c>
      <c r="D93" t="str">
        <f>IF(COUNTIF(Order_sheet!B:B, A93)&gt;1,"Yes","No")</f>
        <v>No</v>
      </c>
    </row>
    <row r="94" spans="1:4" x14ac:dyDescent="0.3">
      <c r="A94" t="s">
        <v>312</v>
      </c>
      <c r="B94" t="s">
        <v>727</v>
      </c>
      <c r="C94" t="s">
        <v>729</v>
      </c>
      <c r="D94" t="str">
        <f>IF(COUNTIF(Order_sheet!B:B, A94)&gt;1,"Yes","No")</f>
        <v>No</v>
      </c>
    </row>
    <row r="95" spans="1:4" x14ac:dyDescent="0.3">
      <c r="A95" t="s">
        <v>313</v>
      </c>
      <c r="B95" t="s">
        <v>727</v>
      </c>
      <c r="C95" t="s">
        <v>730</v>
      </c>
      <c r="D95" t="str">
        <f>IF(COUNTIF(Order_sheet!B:B, A95)&gt;1,"Yes","No")</f>
        <v>No</v>
      </c>
    </row>
    <row r="96" spans="1:4" x14ac:dyDescent="0.3">
      <c r="A96" t="s">
        <v>314</v>
      </c>
      <c r="B96" t="s">
        <v>727</v>
      </c>
      <c r="C96" t="s">
        <v>729</v>
      </c>
      <c r="D96" t="str">
        <f>IF(COUNTIF(Order_sheet!B:B, A96)&gt;1,"Yes","No")</f>
        <v>No</v>
      </c>
    </row>
    <row r="97" spans="1:4" x14ac:dyDescent="0.3">
      <c r="A97" t="s">
        <v>315</v>
      </c>
      <c r="B97" t="s">
        <v>727</v>
      </c>
      <c r="C97" t="s">
        <v>729</v>
      </c>
      <c r="D97" t="str">
        <f>IF(COUNTIF(Order_sheet!B:B, A97)&gt;1,"Yes","No")</f>
        <v>No</v>
      </c>
    </row>
    <row r="98" spans="1:4" x14ac:dyDescent="0.3">
      <c r="A98" t="s">
        <v>316</v>
      </c>
      <c r="B98" t="s">
        <v>727</v>
      </c>
      <c r="C98" t="s">
        <v>729</v>
      </c>
      <c r="D98" t="str">
        <f>IF(COUNTIF(Order_sheet!B:B, A98)&gt;1,"Yes","No")</f>
        <v>No</v>
      </c>
    </row>
    <row r="99" spans="1:4" x14ac:dyDescent="0.3">
      <c r="A99" t="s">
        <v>317</v>
      </c>
      <c r="B99" t="s">
        <v>727</v>
      </c>
      <c r="C99" t="s">
        <v>729</v>
      </c>
      <c r="D99" t="str">
        <f>IF(COUNTIF(Order_sheet!B:B, A99)&gt;1,"Yes","No")</f>
        <v>No</v>
      </c>
    </row>
    <row r="100" spans="1:4" x14ac:dyDescent="0.3">
      <c r="A100" t="s">
        <v>318</v>
      </c>
      <c r="B100" t="s">
        <v>727</v>
      </c>
      <c r="C100" t="s">
        <v>729</v>
      </c>
      <c r="D100" t="str">
        <f>IF(COUNTIF(Order_sheet!B:B, A100)&gt;1,"Yes","No")</f>
        <v>No</v>
      </c>
    </row>
    <row r="101" spans="1:4" x14ac:dyDescent="0.3">
      <c r="A101" t="s">
        <v>319</v>
      </c>
      <c r="B101" t="s">
        <v>726</v>
      </c>
      <c r="C101" t="s">
        <v>730</v>
      </c>
      <c r="D101" t="str">
        <f>IF(COUNTIF(Order_sheet!B:B, A101)&gt;1,"Yes","No")</f>
        <v>No</v>
      </c>
    </row>
    <row r="102" spans="1:4" x14ac:dyDescent="0.3">
      <c r="A102" t="s">
        <v>320</v>
      </c>
      <c r="B102" t="s">
        <v>727</v>
      </c>
      <c r="C102" t="s">
        <v>729</v>
      </c>
      <c r="D102" t="str">
        <f>IF(COUNTIF(Order_sheet!B:B, A102)&gt;1,"Yes","No")</f>
        <v>No</v>
      </c>
    </row>
    <row r="103" spans="1:4" x14ac:dyDescent="0.3">
      <c r="A103" t="s">
        <v>321</v>
      </c>
      <c r="B103" t="s">
        <v>727</v>
      </c>
      <c r="C103" t="s">
        <v>729</v>
      </c>
      <c r="D103" t="str">
        <f>IF(COUNTIF(Order_sheet!B:B, A103)&gt;1,"Yes","No")</f>
        <v>No</v>
      </c>
    </row>
    <row r="104" spans="1:4" x14ac:dyDescent="0.3">
      <c r="A104" t="s">
        <v>322</v>
      </c>
      <c r="B104" t="s">
        <v>727</v>
      </c>
      <c r="C104" t="s">
        <v>729</v>
      </c>
      <c r="D104" t="str">
        <f>IF(COUNTIF(Order_sheet!B:B, A104)&gt;1,"Yes","No")</f>
        <v>No</v>
      </c>
    </row>
    <row r="105" spans="1:4" x14ac:dyDescent="0.3">
      <c r="A105" t="s">
        <v>323</v>
      </c>
      <c r="B105" t="s">
        <v>726</v>
      </c>
      <c r="C105" t="s">
        <v>729</v>
      </c>
      <c r="D105" t="str">
        <f>IF(COUNTIF(Order_sheet!B:B, A105)&gt;1,"Yes","No")</f>
        <v>No</v>
      </c>
    </row>
    <row r="106" spans="1:4" x14ac:dyDescent="0.3">
      <c r="A106" t="s">
        <v>324</v>
      </c>
      <c r="B106" t="s">
        <v>727</v>
      </c>
      <c r="C106" t="s">
        <v>730</v>
      </c>
      <c r="D106" t="str">
        <f>IF(COUNTIF(Order_sheet!B:B, A106)&gt;1,"Yes","No")</f>
        <v>No</v>
      </c>
    </row>
    <row r="107" spans="1:4" x14ac:dyDescent="0.3">
      <c r="A107" t="s">
        <v>325</v>
      </c>
      <c r="B107" t="s">
        <v>726</v>
      </c>
      <c r="C107" t="s">
        <v>729</v>
      </c>
      <c r="D107" t="str">
        <f>IF(COUNTIF(Order_sheet!B:B, A107)&gt;1,"Yes","No")</f>
        <v>No</v>
      </c>
    </row>
    <row r="108" spans="1:4" x14ac:dyDescent="0.3">
      <c r="A108" t="s">
        <v>326</v>
      </c>
      <c r="B108" t="s">
        <v>727</v>
      </c>
      <c r="C108" t="s">
        <v>730</v>
      </c>
      <c r="D108" t="str">
        <f>IF(COUNTIF(Order_sheet!B:B, A108)&gt;1,"Yes","No")</f>
        <v>No</v>
      </c>
    </row>
    <row r="109" spans="1:4" x14ac:dyDescent="0.3">
      <c r="A109" t="s">
        <v>327</v>
      </c>
      <c r="B109" t="s">
        <v>727</v>
      </c>
      <c r="C109" t="s">
        <v>729</v>
      </c>
      <c r="D109" t="str">
        <f>IF(COUNTIF(Order_sheet!B:B, A109)&gt;1,"Yes","No")</f>
        <v>No</v>
      </c>
    </row>
    <row r="110" spans="1:4" x14ac:dyDescent="0.3">
      <c r="A110" t="s">
        <v>328</v>
      </c>
      <c r="B110" t="s">
        <v>727</v>
      </c>
      <c r="C110" t="s">
        <v>729</v>
      </c>
      <c r="D110" t="str">
        <f>IF(COUNTIF(Order_sheet!B:B, A110)&gt;1,"Yes","No")</f>
        <v>No</v>
      </c>
    </row>
    <row r="111" spans="1:4" x14ac:dyDescent="0.3">
      <c r="A111" t="s">
        <v>329</v>
      </c>
      <c r="B111" t="s">
        <v>727</v>
      </c>
      <c r="C111" t="s">
        <v>729</v>
      </c>
      <c r="D111" t="str">
        <f>IF(COUNTIF(Order_sheet!B:B, A111)&gt;1,"Yes","No")</f>
        <v>No</v>
      </c>
    </row>
    <row r="112" spans="1:4" x14ac:dyDescent="0.3">
      <c r="A112" t="s">
        <v>330</v>
      </c>
      <c r="B112" t="s">
        <v>727</v>
      </c>
      <c r="C112" t="s">
        <v>730</v>
      </c>
      <c r="D112" t="str">
        <f>IF(COUNTIF(Order_sheet!B:B, A112)&gt;1,"Yes","No")</f>
        <v>No</v>
      </c>
    </row>
    <row r="113" spans="1:4" x14ac:dyDescent="0.3">
      <c r="A113" t="s">
        <v>331</v>
      </c>
      <c r="B113" t="s">
        <v>727</v>
      </c>
      <c r="C113" t="s">
        <v>729</v>
      </c>
      <c r="D113" t="str">
        <f>IF(COUNTIF(Order_sheet!B:B, A113)&gt;1,"Yes","No")</f>
        <v>No</v>
      </c>
    </row>
    <row r="114" spans="1:4" x14ac:dyDescent="0.3">
      <c r="A114" t="s">
        <v>332</v>
      </c>
      <c r="B114" t="s">
        <v>727</v>
      </c>
      <c r="C114" t="s">
        <v>729</v>
      </c>
      <c r="D114" t="str">
        <f>IF(COUNTIF(Order_sheet!B:B, A114)&gt;1,"Yes","No")</f>
        <v>No</v>
      </c>
    </row>
    <row r="115" spans="1:4" x14ac:dyDescent="0.3">
      <c r="A115" t="s">
        <v>333</v>
      </c>
      <c r="B115" t="s">
        <v>727</v>
      </c>
      <c r="C115" t="s">
        <v>730</v>
      </c>
      <c r="D115" t="str">
        <f>IF(COUNTIF(Order_sheet!B:B, A115)&gt;1,"Yes","No")</f>
        <v>No</v>
      </c>
    </row>
    <row r="116" spans="1:4" x14ac:dyDescent="0.3">
      <c r="A116" t="s">
        <v>334</v>
      </c>
      <c r="B116" t="s">
        <v>726</v>
      </c>
      <c r="C116" t="s">
        <v>729</v>
      </c>
      <c r="D116" t="str">
        <f>IF(COUNTIF(Order_sheet!B:B, A116)&gt;1,"Yes","No")</f>
        <v>No</v>
      </c>
    </row>
    <row r="117" spans="1:4" x14ac:dyDescent="0.3">
      <c r="A117" t="s">
        <v>335</v>
      </c>
      <c r="B117" t="s">
        <v>727</v>
      </c>
      <c r="C117" t="s">
        <v>729</v>
      </c>
      <c r="D117" t="str">
        <f>IF(COUNTIF(Order_sheet!B:B, A117)&gt;1,"Yes","No")</f>
        <v>No</v>
      </c>
    </row>
    <row r="118" spans="1:4" x14ac:dyDescent="0.3">
      <c r="A118" t="s">
        <v>336</v>
      </c>
      <c r="B118" t="s">
        <v>727</v>
      </c>
      <c r="C118" t="s">
        <v>729</v>
      </c>
      <c r="D118" t="str">
        <f>IF(COUNTIF(Order_sheet!B:B, A118)&gt;1,"Yes","No")</f>
        <v>No</v>
      </c>
    </row>
    <row r="119" spans="1:4" x14ac:dyDescent="0.3">
      <c r="A119" t="s">
        <v>337</v>
      </c>
      <c r="B119" t="s">
        <v>726</v>
      </c>
      <c r="C119" t="s">
        <v>730</v>
      </c>
      <c r="D119" t="str">
        <f>IF(COUNTIF(Order_sheet!B:B, A119)&gt;1,"Yes","No")</f>
        <v>No</v>
      </c>
    </row>
    <row r="120" spans="1:4" x14ac:dyDescent="0.3">
      <c r="A120" t="s">
        <v>338</v>
      </c>
      <c r="B120" t="s">
        <v>727</v>
      </c>
      <c r="C120" t="s">
        <v>729</v>
      </c>
      <c r="D120" t="str">
        <f>IF(COUNTIF(Order_sheet!B:B, A120)&gt;1,"Yes","No")</f>
        <v>No</v>
      </c>
    </row>
    <row r="121" spans="1:4" x14ac:dyDescent="0.3">
      <c r="A121" t="s">
        <v>339</v>
      </c>
      <c r="B121" t="s">
        <v>727</v>
      </c>
      <c r="C121" t="s">
        <v>729</v>
      </c>
      <c r="D121" t="str">
        <f>IF(COUNTIF(Order_sheet!B:B, A121)&gt;1,"Yes","No")</f>
        <v>No</v>
      </c>
    </row>
    <row r="122" spans="1:4" x14ac:dyDescent="0.3">
      <c r="A122" t="s">
        <v>340</v>
      </c>
      <c r="B122" t="s">
        <v>727</v>
      </c>
      <c r="C122" t="s">
        <v>730</v>
      </c>
      <c r="D122" t="str">
        <f>IF(COUNTIF(Order_sheet!B:B, A122)&gt;1,"Yes","No")</f>
        <v>No</v>
      </c>
    </row>
    <row r="123" spans="1:4" x14ac:dyDescent="0.3">
      <c r="A123" t="s">
        <v>341</v>
      </c>
      <c r="B123" t="s">
        <v>727</v>
      </c>
      <c r="C123" t="s">
        <v>729</v>
      </c>
      <c r="D123" t="str">
        <f>IF(COUNTIF(Order_sheet!B:B, A123)&gt;1,"Yes","No")</f>
        <v>No</v>
      </c>
    </row>
    <row r="124" spans="1:4" x14ac:dyDescent="0.3">
      <c r="A124" t="s">
        <v>342</v>
      </c>
      <c r="B124" t="s">
        <v>727</v>
      </c>
      <c r="C124" t="s">
        <v>729</v>
      </c>
      <c r="D124" t="str">
        <f>IF(COUNTIF(Order_sheet!B:B, A124)&gt;1,"Yes","No")</f>
        <v>No</v>
      </c>
    </row>
    <row r="125" spans="1:4" x14ac:dyDescent="0.3">
      <c r="A125" t="s">
        <v>343</v>
      </c>
      <c r="B125" t="s">
        <v>726</v>
      </c>
      <c r="C125" t="s">
        <v>730</v>
      </c>
      <c r="D125" t="str">
        <f>IF(COUNTIF(Order_sheet!B:B, A125)&gt;1,"Yes","No")</f>
        <v>No</v>
      </c>
    </row>
    <row r="126" spans="1:4" x14ac:dyDescent="0.3">
      <c r="A126" t="s">
        <v>344</v>
      </c>
      <c r="B126" t="s">
        <v>727</v>
      </c>
      <c r="C126" t="s">
        <v>729</v>
      </c>
      <c r="D126" t="str">
        <f>IF(COUNTIF(Order_sheet!B:B, A126)&gt;1,"Yes","No")</f>
        <v>No</v>
      </c>
    </row>
    <row r="127" spans="1:4" x14ac:dyDescent="0.3">
      <c r="A127" t="s">
        <v>345</v>
      </c>
      <c r="B127" t="s">
        <v>726</v>
      </c>
      <c r="C127" t="s">
        <v>729</v>
      </c>
      <c r="D127" t="str">
        <f>IF(COUNTIF(Order_sheet!B:B, A127)&gt;1,"Yes","No")</f>
        <v>No</v>
      </c>
    </row>
    <row r="128" spans="1:4" x14ac:dyDescent="0.3">
      <c r="A128" t="s">
        <v>346</v>
      </c>
      <c r="B128" t="s">
        <v>726</v>
      </c>
      <c r="C128" t="s">
        <v>729</v>
      </c>
      <c r="D128" t="str">
        <f>IF(COUNTIF(Order_sheet!B:B, A128)&gt;1,"Yes","No")</f>
        <v>No</v>
      </c>
    </row>
    <row r="129" spans="1:4" x14ac:dyDescent="0.3">
      <c r="A129" t="s">
        <v>347</v>
      </c>
      <c r="B129" t="s">
        <v>726</v>
      </c>
      <c r="C129" t="s">
        <v>730</v>
      </c>
      <c r="D129" t="str">
        <f>IF(COUNTIF(Order_sheet!B:B, A129)&gt;1,"Yes","No")</f>
        <v>No</v>
      </c>
    </row>
    <row r="130" spans="1:4" x14ac:dyDescent="0.3">
      <c r="A130" t="s">
        <v>348</v>
      </c>
      <c r="B130" t="s">
        <v>726</v>
      </c>
      <c r="C130" t="s">
        <v>729</v>
      </c>
      <c r="D130" t="str">
        <f>IF(COUNTIF(Order_sheet!B:B, A130)&gt;1,"Yes","No")</f>
        <v>No</v>
      </c>
    </row>
    <row r="131" spans="1:4" x14ac:dyDescent="0.3">
      <c r="A131" t="s">
        <v>349</v>
      </c>
      <c r="B131" t="s">
        <v>726</v>
      </c>
      <c r="C131" t="s">
        <v>730</v>
      </c>
      <c r="D131" t="str">
        <f>IF(COUNTIF(Order_sheet!B:B, A131)&gt;1,"Yes","No")</f>
        <v>No</v>
      </c>
    </row>
    <row r="132" spans="1:4" x14ac:dyDescent="0.3">
      <c r="A132" t="s">
        <v>350</v>
      </c>
      <c r="B132" t="s">
        <v>727</v>
      </c>
      <c r="C132" t="s">
        <v>729</v>
      </c>
      <c r="D132" t="str">
        <f>IF(COUNTIF(Order_sheet!B:B, A132)&gt;1,"Yes","No")</f>
        <v>No</v>
      </c>
    </row>
    <row r="133" spans="1:4" x14ac:dyDescent="0.3">
      <c r="A133" t="s">
        <v>351</v>
      </c>
      <c r="B133" t="s">
        <v>727</v>
      </c>
      <c r="C133" t="s">
        <v>730</v>
      </c>
      <c r="D133" t="str">
        <f>IF(COUNTIF(Order_sheet!B:B, A133)&gt;1,"Yes","No")</f>
        <v>No</v>
      </c>
    </row>
    <row r="134" spans="1:4" x14ac:dyDescent="0.3">
      <c r="A134" t="s">
        <v>372</v>
      </c>
      <c r="B134" t="s">
        <v>727</v>
      </c>
      <c r="C134" t="s">
        <v>729</v>
      </c>
      <c r="D134" t="str">
        <f>IF(COUNTIF(Order_sheet!B:B, A134)&gt;1,"Yes","No")</f>
        <v>No</v>
      </c>
    </row>
    <row r="135" spans="1:4" x14ac:dyDescent="0.3">
      <c r="A135" t="s">
        <v>373</v>
      </c>
      <c r="B135" t="s">
        <v>727</v>
      </c>
      <c r="C135" t="s">
        <v>729</v>
      </c>
      <c r="D135" t="str">
        <f>IF(COUNTIF(Order_sheet!B:B, A135)&gt;1,"Yes","No")</f>
        <v>No</v>
      </c>
    </row>
    <row r="136" spans="1:4" x14ac:dyDescent="0.3">
      <c r="A136" t="s">
        <v>374</v>
      </c>
      <c r="B136" t="s">
        <v>727</v>
      </c>
      <c r="C136" t="s">
        <v>729</v>
      </c>
      <c r="D136" t="str">
        <f>IF(COUNTIF(Order_sheet!B:B, A136)&gt;1,"Yes","No")</f>
        <v>No</v>
      </c>
    </row>
    <row r="137" spans="1:4" x14ac:dyDescent="0.3">
      <c r="A137" t="s">
        <v>375</v>
      </c>
      <c r="B137" t="s">
        <v>727</v>
      </c>
      <c r="C137" t="s">
        <v>729</v>
      </c>
      <c r="D137" t="str">
        <f>IF(COUNTIF(Order_sheet!B:B, A137)&gt;1,"Yes","No")</f>
        <v>No</v>
      </c>
    </row>
    <row r="138" spans="1:4" x14ac:dyDescent="0.3">
      <c r="A138" t="s">
        <v>376</v>
      </c>
      <c r="B138" t="s">
        <v>727</v>
      </c>
      <c r="C138" t="s">
        <v>729</v>
      </c>
      <c r="D138" t="str">
        <f>IF(COUNTIF(Order_sheet!B:B, A138)&gt;1,"Yes","No")</f>
        <v>No</v>
      </c>
    </row>
    <row r="139" spans="1:4" x14ac:dyDescent="0.3">
      <c r="A139" t="s">
        <v>377</v>
      </c>
      <c r="B139" t="s">
        <v>727</v>
      </c>
      <c r="C139" t="s">
        <v>730</v>
      </c>
      <c r="D139" t="str">
        <f>IF(COUNTIF(Order_sheet!B:B, A139)&gt;1,"Yes","No")</f>
        <v>No</v>
      </c>
    </row>
    <row r="140" spans="1:4" x14ac:dyDescent="0.3">
      <c r="A140" t="s">
        <v>378</v>
      </c>
      <c r="B140" t="s">
        <v>726</v>
      </c>
      <c r="C140" t="s">
        <v>729</v>
      </c>
      <c r="D140" t="str">
        <f>IF(COUNTIF(Order_sheet!B:B, A140)&gt;1,"Yes","No")</f>
        <v>No</v>
      </c>
    </row>
    <row r="141" spans="1:4" x14ac:dyDescent="0.3">
      <c r="A141" t="s">
        <v>379</v>
      </c>
      <c r="B141" t="s">
        <v>726</v>
      </c>
      <c r="C141" t="s">
        <v>729</v>
      </c>
      <c r="D141" t="str">
        <f>IF(COUNTIF(Order_sheet!B:B, A141)&gt;1,"Yes","No")</f>
        <v>No</v>
      </c>
    </row>
    <row r="142" spans="1:4" x14ac:dyDescent="0.3">
      <c r="A142" t="s">
        <v>380</v>
      </c>
      <c r="B142" t="s">
        <v>727</v>
      </c>
      <c r="C142" t="s">
        <v>730</v>
      </c>
      <c r="D142" t="str">
        <f>IF(COUNTIF(Order_sheet!B:B, A143)&gt;1,"Yes","No")</f>
        <v>No</v>
      </c>
    </row>
    <row r="143" spans="1:4" x14ac:dyDescent="0.3">
      <c r="A143" t="s">
        <v>381</v>
      </c>
      <c r="B143" t="s">
        <v>727</v>
      </c>
      <c r="C143" t="s">
        <v>730</v>
      </c>
      <c r="D143" t="str">
        <f>IF(COUNTIF(Order_sheet!B:B, A144)&gt;1,"Yes","No")</f>
        <v>No</v>
      </c>
    </row>
    <row r="144" spans="1:4" x14ac:dyDescent="0.3">
      <c r="A144" t="s">
        <v>382</v>
      </c>
      <c r="B144" t="s">
        <v>727</v>
      </c>
      <c r="C144" t="s">
        <v>729</v>
      </c>
      <c r="D144" t="str">
        <f>IF(COUNTIF(Order_sheet!B:B, A145)&gt;1,"Yes","No")</f>
        <v>No</v>
      </c>
    </row>
    <row r="145" spans="1:4" x14ac:dyDescent="0.3">
      <c r="A145" t="s">
        <v>383</v>
      </c>
      <c r="B145" t="s">
        <v>727</v>
      </c>
      <c r="C145" t="s">
        <v>730</v>
      </c>
      <c r="D145" t="str">
        <f>IF(COUNTIF(Order_sheet!B:B, A146)&gt;1,"Yes","No")</f>
        <v>No</v>
      </c>
    </row>
    <row r="146" spans="1:4" x14ac:dyDescent="0.3">
      <c r="A146" t="s">
        <v>384</v>
      </c>
      <c r="B146" t="s">
        <v>726</v>
      </c>
      <c r="C146" t="s">
        <v>729</v>
      </c>
      <c r="D146" t="str">
        <f>IF(COUNTIF(Order_sheet!B:B, A147)&gt;1,"Yes","No")</f>
        <v>No</v>
      </c>
    </row>
  </sheetData>
  <sheetProtection selectLockedCells="1" selectUnlockedCells="1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B494-0490-4999-9B17-32DB040FF0CF}">
  <dimension ref="A1:F162"/>
  <sheetViews>
    <sheetView zoomScaleNormal="100" workbookViewId="0">
      <selection activeCell="G1" sqref="G1"/>
    </sheetView>
  </sheetViews>
  <sheetFormatPr defaultRowHeight="14.4" x14ac:dyDescent="0.3"/>
  <cols>
    <col min="1" max="6" width="12.77734375" customWidth="1"/>
  </cols>
  <sheetData>
    <row r="1" spans="1:6" ht="49.95" customHeight="1" x14ac:dyDescent="0.3">
      <c r="A1" s="5" t="s">
        <v>20</v>
      </c>
      <c r="B1" s="4" t="s">
        <v>21</v>
      </c>
      <c r="C1" s="4" t="s">
        <v>22</v>
      </c>
      <c r="D1" s="4" t="s">
        <v>23</v>
      </c>
      <c r="E1" s="4" t="s">
        <v>25</v>
      </c>
      <c r="F1" s="4" t="s">
        <v>24</v>
      </c>
    </row>
    <row r="2" spans="1:6" x14ac:dyDescent="0.3">
      <c r="A2" t="s">
        <v>1</v>
      </c>
      <c r="B2" t="s">
        <v>0</v>
      </c>
      <c r="C2" s="2">
        <v>45797</v>
      </c>
      <c r="D2" s="2">
        <v>45813</v>
      </c>
      <c r="E2" t="s">
        <v>50</v>
      </c>
      <c r="F2" t="s">
        <v>392</v>
      </c>
    </row>
    <row r="3" spans="1:6" x14ac:dyDescent="0.3">
      <c r="A3" t="s">
        <v>4</v>
      </c>
      <c r="B3" t="s">
        <v>12</v>
      </c>
      <c r="C3" s="2">
        <v>45797</v>
      </c>
      <c r="D3" s="2">
        <v>45810</v>
      </c>
      <c r="E3" t="s">
        <v>51</v>
      </c>
      <c r="F3" t="s">
        <v>393</v>
      </c>
    </row>
    <row r="4" spans="1:6" x14ac:dyDescent="0.3">
      <c r="A4" t="s">
        <v>5</v>
      </c>
      <c r="B4" s="7" t="s">
        <v>13</v>
      </c>
      <c r="C4" s="2">
        <v>45802</v>
      </c>
      <c r="D4" s="2">
        <v>45811</v>
      </c>
      <c r="E4" t="s">
        <v>53</v>
      </c>
      <c r="F4" t="s">
        <v>392</v>
      </c>
    </row>
    <row r="5" spans="1:6" ht="28.8" x14ac:dyDescent="0.3">
      <c r="A5" t="s">
        <v>6</v>
      </c>
      <c r="B5" s="7" t="s">
        <v>14</v>
      </c>
      <c r="C5" s="2">
        <v>45805</v>
      </c>
      <c r="D5" s="2">
        <v>45812</v>
      </c>
      <c r="E5" s="1" t="s">
        <v>49</v>
      </c>
      <c r="F5" t="s">
        <v>392</v>
      </c>
    </row>
    <row r="6" spans="1:6" x14ac:dyDescent="0.3">
      <c r="A6" t="s">
        <v>7</v>
      </c>
      <c r="B6" s="7" t="s">
        <v>15</v>
      </c>
      <c r="C6" s="2">
        <v>45812</v>
      </c>
      <c r="D6" s="2">
        <v>45817</v>
      </c>
      <c r="E6" t="s">
        <v>51</v>
      </c>
      <c r="F6" t="s">
        <v>393</v>
      </c>
    </row>
    <row r="7" spans="1:6" x14ac:dyDescent="0.3">
      <c r="A7" t="s">
        <v>8</v>
      </c>
      <c r="B7" s="7" t="s">
        <v>16</v>
      </c>
      <c r="C7" s="2">
        <v>45812</v>
      </c>
      <c r="D7" s="2">
        <v>45819</v>
      </c>
      <c r="E7" t="s">
        <v>53</v>
      </c>
      <c r="F7" t="s">
        <v>393</v>
      </c>
    </row>
    <row r="8" spans="1:6" x14ac:dyDescent="0.3">
      <c r="A8" t="s">
        <v>9</v>
      </c>
      <c r="B8" s="7" t="s">
        <v>17</v>
      </c>
      <c r="C8" s="2">
        <v>45813</v>
      </c>
      <c r="D8" s="2">
        <v>45814</v>
      </c>
      <c r="E8" t="s">
        <v>51</v>
      </c>
      <c r="F8" t="s">
        <v>393</v>
      </c>
    </row>
    <row r="9" spans="1:6" x14ac:dyDescent="0.3">
      <c r="A9" t="s">
        <v>10</v>
      </c>
      <c r="B9" s="7" t="s">
        <v>18</v>
      </c>
      <c r="C9" s="2">
        <v>45813</v>
      </c>
      <c r="D9" s="2">
        <v>45818</v>
      </c>
      <c r="E9" t="s">
        <v>51</v>
      </c>
      <c r="F9" t="s">
        <v>393</v>
      </c>
    </row>
    <row r="10" spans="1:6" x14ac:dyDescent="0.3">
      <c r="A10" t="s">
        <v>11</v>
      </c>
      <c r="B10" s="7" t="s">
        <v>19</v>
      </c>
      <c r="C10" s="2">
        <v>45813</v>
      </c>
      <c r="D10" s="2">
        <v>45826</v>
      </c>
      <c r="E10" t="s">
        <v>63</v>
      </c>
      <c r="F10" t="s">
        <v>392</v>
      </c>
    </row>
    <row r="11" spans="1:6" x14ac:dyDescent="0.3">
      <c r="A11" t="s">
        <v>43</v>
      </c>
      <c r="B11" s="7" t="s">
        <v>13</v>
      </c>
      <c r="C11" s="2">
        <v>45815</v>
      </c>
      <c r="D11" s="2">
        <v>45831</v>
      </c>
      <c r="E11" t="s">
        <v>92</v>
      </c>
      <c r="F11" t="s">
        <v>392</v>
      </c>
    </row>
    <row r="12" spans="1:6" x14ac:dyDescent="0.3">
      <c r="A12" t="s">
        <v>44</v>
      </c>
      <c r="B12" t="s">
        <v>55</v>
      </c>
      <c r="C12" s="2">
        <v>45818</v>
      </c>
      <c r="D12" s="2">
        <v>45819</v>
      </c>
      <c r="E12" t="s">
        <v>51</v>
      </c>
      <c r="F12" t="s">
        <v>392</v>
      </c>
    </row>
    <row r="13" spans="1:6" x14ac:dyDescent="0.3">
      <c r="A13" t="s">
        <v>45</v>
      </c>
      <c r="B13" t="s">
        <v>56</v>
      </c>
      <c r="C13" s="2">
        <v>45818</v>
      </c>
      <c r="D13" s="2">
        <v>45823</v>
      </c>
      <c r="E13" t="s">
        <v>53</v>
      </c>
      <c r="F13" t="s">
        <v>392</v>
      </c>
    </row>
    <row r="14" spans="1:6" x14ac:dyDescent="0.3">
      <c r="A14" t="s">
        <v>46</v>
      </c>
      <c r="B14" t="s">
        <v>57</v>
      </c>
      <c r="C14" s="2">
        <v>45818</v>
      </c>
      <c r="D14" s="2">
        <v>45832</v>
      </c>
      <c r="E14" t="s">
        <v>53</v>
      </c>
      <c r="F14" t="s">
        <v>392</v>
      </c>
    </row>
    <row r="15" spans="1:6" x14ac:dyDescent="0.3">
      <c r="A15" t="s">
        <v>47</v>
      </c>
      <c r="B15" t="s">
        <v>58</v>
      </c>
      <c r="C15" s="2">
        <v>45820</v>
      </c>
      <c r="D15" s="2">
        <v>45821</v>
      </c>
      <c r="E15" t="s">
        <v>51</v>
      </c>
      <c r="F15" t="s">
        <v>393</v>
      </c>
    </row>
    <row r="16" spans="1:6" ht="28.8" x14ac:dyDescent="0.3">
      <c r="A16" t="s">
        <v>48</v>
      </c>
      <c r="B16" t="s">
        <v>59</v>
      </c>
      <c r="C16" s="2">
        <v>45823</v>
      </c>
      <c r="D16" s="2">
        <v>45830</v>
      </c>
      <c r="E16" s="1" t="s">
        <v>49</v>
      </c>
      <c r="F16" t="s">
        <v>392</v>
      </c>
    </row>
    <row r="17" spans="1:6" x14ac:dyDescent="0.3">
      <c r="A17" t="s">
        <v>66</v>
      </c>
      <c r="B17" t="s">
        <v>60</v>
      </c>
      <c r="C17" s="2">
        <v>45823</v>
      </c>
      <c r="D17" s="2">
        <v>45831</v>
      </c>
      <c r="E17" t="s">
        <v>53</v>
      </c>
      <c r="F17" t="s">
        <v>392</v>
      </c>
    </row>
    <row r="18" spans="1:6" x14ac:dyDescent="0.3">
      <c r="A18" t="s">
        <v>67</v>
      </c>
      <c r="B18" t="s">
        <v>71</v>
      </c>
      <c r="C18" s="2">
        <v>45826</v>
      </c>
      <c r="D18" s="2">
        <v>45827</v>
      </c>
      <c r="E18" t="s">
        <v>51</v>
      </c>
      <c r="F18" t="s">
        <v>393</v>
      </c>
    </row>
    <row r="19" spans="1:6" x14ac:dyDescent="0.3">
      <c r="A19" t="s">
        <v>68</v>
      </c>
      <c r="B19" t="s">
        <v>72</v>
      </c>
      <c r="C19" s="2">
        <v>45828</v>
      </c>
      <c r="D19" s="2">
        <v>45835</v>
      </c>
      <c r="E19" t="s">
        <v>51</v>
      </c>
      <c r="F19" t="s">
        <v>393</v>
      </c>
    </row>
    <row r="20" spans="1:6" x14ac:dyDescent="0.3">
      <c r="A20" t="s">
        <v>69</v>
      </c>
      <c r="B20" t="s">
        <v>73</v>
      </c>
      <c r="C20" s="2">
        <v>45828</v>
      </c>
      <c r="D20" s="2">
        <v>45838</v>
      </c>
      <c r="E20" t="s">
        <v>51</v>
      </c>
      <c r="F20" t="s">
        <v>393</v>
      </c>
    </row>
    <row r="21" spans="1:6" x14ac:dyDescent="0.3">
      <c r="A21" t="s">
        <v>70</v>
      </c>
      <c r="B21" s="7" t="s">
        <v>74</v>
      </c>
      <c r="C21" s="2">
        <v>45830</v>
      </c>
      <c r="D21" s="2">
        <v>45841</v>
      </c>
      <c r="E21" t="s">
        <v>53</v>
      </c>
      <c r="F21" t="s">
        <v>392</v>
      </c>
    </row>
    <row r="22" spans="1:6" x14ac:dyDescent="0.3">
      <c r="A22" t="s">
        <v>76</v>
      </c>
      <c r="B22" t="s">
        <v>75</v>
      </c>
      <c r="C22" s="2">
        <v>45831</v>
      </c>
      <c r="D22" s="2">
        <v>45833</v>
      </c>
      <c r="E22" t="s">
        <v>51</v>
      </c>
      <c r="F22" t="s">
        <v>393</v>
      </c>
    </row>
    <row r="23" spans="1:6" x14ac:dyDescent="0.3">
      <c r="A23" t="s">
        <v>77</v>
      </c>
      <c r="B23" t="s">
        <v>81</v>
      </c>
      <c r="C23" s="2">
        <v>45833</v>
      </c>
      <c r="D23" s="2">
        <v>45835</v>
      </c>
      <c r="E23" t="s">
        <v>51</v>
      </c>
      <c r="F23" t="s">
        <v>393</v>
      </c>
    </row>
    <row r="24" spans="1:6" x14ac:dyDescent="0.3">
      <c r="A24" t="s">
        <v>78</v>
      </c>
      <c r="B24" t="s">
        <v>82</v>
      </c>
      <c r="C24" s="2">
        <v>45838</v>
      </c>
      <c r="D24" s="2">
        <v>45840</v>
      </c>
      <c r="E24" t="s">
        <v>51</v>
      </c>
      <c r="F24" t="s">
        <v>393</v>
      </c>
    </row>
    <row r="25" spans="1:6" x14ac:dyDescent="0.3">
      <c r="A25" t="s">
        <v>79</v>
      </c>
      <c r="B25" t="s">
        <v>83</v>
      </c>
      <c r="C25" s="2">
        <v>45839</v>
      </c>
      <c r="D25" s="2">
        <v>45845</v>
      </c>
      <c r="E25" t="s">
        <v>53</v>
      </c>
      <c r="F25" t="s">
        <v>392</v>
      </c>
    </row>
    <row r="26" spans="1:6" x14ac:dyDescent="0.3">
      <c r="A26" t="s">
        <v>80</v>
      </c>
      <c r="B26" s="7" t="s">
        <v>84</v>
      </c>
      <c r="C26" s="2">
        <v>45839</v>
      </c>
      <c r="D26" s="2">
        <v>45857</v>
      </c>
      <c r="E26" t="s">
        <v>94</v>
      </c>
      <c r="F26" t="s">
        <v>392</v>
      </c>
    </row>
    <row r="27" spans="1:6" x14ac:dyDescent="0.3">
      <c r="A27" t="s">
        <v>153</v>
      </c>
      <c r="B27" t="s">
        <v>85</v>
      </c>
      <c r="C27" s="2">
        <v>45839</v>
      </c>
      <c r="D27" s="2">
        <v>45853</v>
      </c>
      <c r="E27" t="s">
        <v>135</v>
      </c>
      <c r="F27" t="s">
        <v>392</v>
      </c>
    </row>
    <row r="28" spans="1:6" x14ac:dyDescent="0.3">
      <c r="A28" t="s">
        <v>154</v>
      </c>
      <c r="B28" t="s">
        <v>93</v>
      </c>
      <c r="C28" s="2">
        <v>45840</v>
      </c>
      <c r="D28" s="2">
        <v>45847</v>
      </c>
      <c r="E28" t="s">
        <v>53</v>
      </c>
      <c r="F28" t="s">
        <v>392</v>
      </c>
    </row>
    <row r="29" spans="1:6" x14ac:dyDescent="0.3">
      <c r="A29" t="s">
        <v>155</v>
      </c>
      <c r="B29" t="s">
        <v>87</v>
      </c>
      <c r="C29" s="2">
        <v>45843</v>
      </c>
      <c r="D29" s="2">
        <v>45850</v>
      </c>
      <c r="E29" t="s">
        <v>92</v>
      </c>
      <c r="F29" t="s">
        <v>392</v>
      </c>
    </row>
    <row r="30" spans="1:6" x14ac:dyDescent="0.3">
      <c r="A30" t="s">
        <v>156</v>
      </c>
      <c r="B30" s="7" t="s">
        <v>13</v>
      </c>
      <c r="C30" s="2">
        <v>45843</v>
      </c>
      <c r="D30" s="2">
        <v>45852</v>
      </c>
      <c r="E30" t="s">
        <v>92</v>
      </c>
      <c r="F30" t="s">
        <v>392</v>
      </c>
    </row>
    <row r="31" spans="1:6" x14ac:dyDescent="0.3">
      <c r="A31" t="s">
        <v>157</v>
      </c>
      <c r="B31" t="s">
        <v>88</v>
      </c>
      <c r="C31" s="2">
        <v>45844</v>
      </c>
      <c r="D31" s="2">
        <v>45853</v>
      </c>
      <c r="E31" t="s">
        <v>53</v>
      </c>
      <c r="F31" t="s">
        <v>392</v>
      </c>
    </row>
    <row r="32" spans="1:6" x14ac:dyDescent="0.3">
      <c r="A32" t="s">
        <v>158</v>
      </c>
      <c r="B32" t="s">
        <v>89</v>
      </c>
      <c r="C32" s="2">
        <v>45844</v>
      </c>
      <c r="D32" s="2">
        <v>45852</v>
      </c>
      <c r="E32" t="s">
        <v>135</v>
      </c>
      <c r="F32" t="s">
        <v>392</v>
      </c>
    </row>
    <row r="33" spans="1:6" x14ac:dyDescent="0.3">
      <c r="A33" t="s">
        <v>159</v>
      </c>
      <c r="B33" s="7" t="s">
        <v>74</v>
      </c>
      <c r="C33" s="2">
        <v>45848</v>
      </c>
      <c r="D33" s="2">
        <v>45873</v>
      </c>
      <c r="E33" t="s">
        <v>135</v>
      </c>
      <c r="F33" t="s">
        <v>392</v>
      </c>
    </row>
    <row r="34" spans="1:6" x14ac:dyDescent="0.3">
      <c r="A34" t="s">
        <v>160</v>
      </c>
      <c r="B34" t="s">
        <v>90</v>
      </c>
      <c r="C34" s="2">
        <v>45848</v>
      </c>
      <c r="D34" s="2">
        <v>45859</v>
      </c>
      <c r="E34" t="s">
        <v>135</v>
      </c>
      <c r="F34" t="s">
        <v>392</v>
      </c>
    </row>
    <row r="35" spans="1:6" x14ac:dyDescent="0.3">
      <c r="A35" t="s">
        <v>161</v>
      </c>
      <c r="B35" s="7" t="s">
        <v>13</v>
      </c>
      <c r="C35" s="2">
        <v>45848</v>
      </c>
      <c r="D35" s="2">
        <v>45862</v>
      </c>
      <c r="E35" t="s">
        <v>92</v>
      </c>
      <c r="F35" t="s">
        <v>392</v>
      </c>
    </row>
    <row r="36" spans="1:6" x14ac:dyDescent="0.3">
      <c r="A36" t="s">
        <v>162</v>
      </c>
      <c r="B36" t="s">
        <v>91</v>
      </c>
      <c r="C36" s="2">
        <v>45848</v>
      </c>
      <c r="D36" s="2">
        <v>45871</v>
      </c>
      <c r="E36" t="s">
        <v>51</v>
      </c>
      <c r="F36" t="s">
        <v>392</v>
      </c>
    </row>
    <row r="37" spans="1:6" x14ac:dyDescent="0.3">
      <c r="A37" t="s">
        <v>163</v>
      </c>
      <c r="B37" t="s">
        <v>95</v>
      </c>
      <c r="C37" s="2">
        <v>45850</v>
      </c>
      <c r="D37" s="2">
        <v>45867</v>
      </c>
      <c r="E37" t="s">
        <v>49</v>
      </c>
      <c r="F37" t="s">
        <v>392</v>
      </c>
    </row>
    <row r="38" spans="1:6" x14ac:dyDescent="0.3">
      <c r="A38" t="s">
        <v>164</v>
      </c>
      <c r="B38" t="s">
        <v>96</v>
      </c>
      <c r="C38" s="2">
        <v>45853</v>
      </c>
      <c r="D38" s="2">
        <v>45874</v>
      </c>
      <c r="E38" t="s">
        <v>134</v>
      </c>
      <c r="F38" t="s">
        <v>392</v>
      </c>
    </row>
    <row r="39" spans="1:6" x14ac:dyDescent="0.3">
      <c r="A39" t="s">
        <v>165</v>
      </c>
      <c r="B39" t="s">
        <v>97</v>
      </c>
      <c r="C39" s="2">
        <v>45856</v>
      </c>
      <c r="D39" s="2">
        <v>45863</v>
      </c>
      <c r="E39" t="s">
        <v>51</v>
      </c>
      <c r="F39" t="s">
        <v>392</v>
      </c>
    </row>
    <row r="40" spans="1:6" x14ac:dyDescent="0.3">
      <c r="A40" t="s">
        <v>166</v>
      </c>
      <c r="B40" t="s">
        <v>98</v>
      </c>
      <c r="C40" s="2">
        <v>45858</v>
      </c>
      <c r="D40" s="2">
        <v>45872</v>
      </c>
      <c r="E40" t="s">
        <v>135</v>
      </c>
      <c r="F40" t="s">
        <v>392</v>
      </c>
    </row>
    <row r="41" spans="1:6" x14ac:dyDescent="0.3">
      <c r="A41" t="s">
        <v>167</v>
      </c>
      <c r="B41" t="s">
        <v>99</v>
      </c>
      <c r="C41" s="2">
        <v>45858</v>
      </c>
      <c r="D41" s="2">
        <v>45876</v>
      </c>
      <c r="E41" t="s">
        <v>49</v>
      </c>
      <c r="F41" t="s">
        <v>392</v>
      </c>
    </row>
    <row r="42" spans="1:6" x14ac:dyDescent="0.3">
      <c r="A42" t="s">
        <v>168</v>
      </c>
      <c r="B42" t="s">
        <v>100</v>
      </c>
      <c r="C42" s="2">
        <v>45859</v>
      </c>
      <c r="D42" s="2">
        <v>45877</v>
      </c>
      <c r="E42" t="s">
        <v>134</v>
      </c>
      <c r="F42" t="s">
        <v>392</v>
      </c>
    </row>
    <row r="43" spans="1:6" x14ac:dyDescent="0.3">
      <c r="A43" t="s">
        <v>169</v>
      </c>
      <c r="B43" t="s">
        <v>101</v>
      </c>
      <c r="C43" s="2">
        <v>45859</v>
      </c>
      <c r="D43" s="2">
        <v>45877</v>
      </c>
      <c r="E43" t="s">
        <v>135</v>
      </c>
      <c r="F43" t="s">
        <v>392</v>
      </c>
    </row>
    <row r="44" spans="1:6" x14ac:dyDescent="0.3">
      <c r="A44" t="s">
        <v>170</v>
      </c>
      <c r="B44" t="s">
        <v>102</v>
      </c>
      <c r="C44" s="2">
        <v>45861</v>
      </c>
      <c r="D44" s="2">
        <v>45880</v>
      </c>
      <c r="E44" t="s">
        <v>136</v>
      </c>
      <c r="F44" t="s">
        <v>392</v>
      </c>
    </row>
    <row r="45" spans="1:6" x14ac:dyDescent="0.3">
      <c r="A45" t="s">
        <v>171</v>
      </c>
      <c r="B45" t="s">
        <v>103</v>
      </c>
      <c r="C45" s="2">
        <v>45862</v>
      </c>
      <c r="D45" s="2">
        <v>45881</v>
      </c>
      <c r="E45" t="s">
        <v>51</v>
      </c>
      <c r="F45" t="s">
        <v>392</v>
      </c>
    </row>
    <row r="46" spans="1:6" x14ac:dyDescent="0.3">
      <c r="A46" t="s">
        <v>172</v>
      </c>
      <c r="B46" t="s">
        <v>104</v>
      </c>
      <c r="C46" s="2">
        <v>45868</v>
      </c>
      <c r="D46" s="2">
        <v>45876</v>
      </c>
      <c r="E46" t="s">
        <v>49</v>
      </c>
      <c r="F46" t="s">
        <v>392</v>
      </c>
    </row>
    <row r="47" spans="1:6" x14ac:dyDescent="0.3">
      <c r="A47" t="s">
        <v>173</v>
      </c>
      <c r="B47" t="s">
        <v>105</v>
      </c>
      <c r="C47" s="2">
        <v>45868</v>
      </c>
      <c r="D47" s="2">
        <v>45883</v>
      </c>
      <c r="E47" t="s">
        <v>134</v>
      </c>
      <c r="F47" t="s">
        <v>392</v>
      </c>
    </row>
    <row r="48" spans="1:6" x14ac:dyDescent="0.3">
      <c r="A48" t="s">
        <v>174</v>
      </c>
      <c r="B48" t="s">
        <v>106</v>
      </c>
      <c r="C48" s="2">
        <v>45870</v>
      </c>
      <c r="D48" s="2">
        <v>45885</v>
      </c>
      <c r="E48" t="s">
        <v>134</v>
      </c>
      <c r="F48" t="s">
        <v>392</v>
      </c>
    </row>
    <row r="49" spans="1:6" x14ac:dyDescent="0.3">
      <c r="A49" t="s">
        <v>175</v>
      </c>
      <c r="B49" t="s">
        <v>107</v>
      </c>
      <c r="C49" s="2">
        <v>45872</v>
      </c>
      <c r="D49" s="2">
        <v>45886</v>
      </c>
      <c r="E49" t="s">
        <v>49</v>
      </c>
      <c r="F49" t="s">
        <v>392</v>
      </c>
    </row>
    <row r="50" spans="1:6" x14ac:dyDescent="0.3">
      <c r="A50" t="s">
        <v>176</v>
      </c>
      <c r="B50" t="s">
        <v>108</v>
      </c>
      <c r="C50" s="2">
        <v>45873</v>
      </c>
      <c r="D50" s="2">
        <v>45889</v>
      </c>
      <c r="E50" t="s">
        <v>141</v>
      </c>
      <c r="F50" t="s">
        <v>392</v>
      </c>
    </row>
    <row r="51" spans="1:6" x14ac:dyDescent="0.3">
      <c r="A51" t="s">
        <v>177</v>
      </c>
      <c r="B51" t="s">
        <v>109</v>
      </c>
      <c r="C51" s="2">
        <v>45874</v>
      </c>
      <c r="D51" s="2">
        <v>45884</v>
      </c>
      <c r="E51" t="s">
        <v>51</v>
      </c>
      <c r="F51" t="s">
        <v>393</v>
      </c>
    </row>
    <row r="52" spans="1:6" x14ac:dyDescent="0.3">
      <c r="A52" t="s">
        <v>178</v>
      </c>
      <c r="B52" s="7" t="s">
        <v>110</v>
      </c>
      <c r="C52" s="2">
        <v>45875</v>
      </c>
      <c r="D52" s="2">
        <v>45885</v>
      </c>
      <c r="E52" t="s">
        <v>53</v>
      </c>
      <c r="F52" t="s">
        <v>392</v>
      </c>
    </row>
    <row r="53" spans="1:6" x14ac:dyDescent="0.3">
      <c r="A53" t="s">
        <v>179</v>
      </c>
      <c r="B53" t="s">
        <v>111</v>
      </c>
      <c r="C53" s="2">
        <v>45879</v>
      </c>
      <c r="D53" s="2">
        <v>45892</v>
      </c>
      <c r="E53" t="s">
        <v>51</v>
      </c>
      <c r="F53" t="s">
        <v>392</v>
      </c>
    </row>
    <row r="54" spans="1:6" x14ac:dyDescent="0.3">
      <c r="A54" t="s">
        <v>180</v>
      </c>
      <c r="B54" t="s">
        <v>112</v>
      </c>
      <c r="C54" s="2">
        <v>45879</v>
      </c>
      <c r="D54" s="2">
        <v>45893</v>
      </c>
      <c r="E54" t="s">
        <v>134</v>
      </c>
      <c r="F54" t="s">
        <v>392</v>
      </c>
    </row>
    <row r="55" spans="1:6" x14ac:dyDescent="0.3">
      <c r="A55" t="s">
        <v>181</v>
      </c>
      <c r="B55" t="s">
        <v>113</v>
      </c>
      <c r="C55" s="2">
        <v>45882</v>
      </c>
      <c r="D55" s="2">
        <v>45894</v>
      </c>
      <c r="E55" t="s">
        <v>135</v>
      </c>
      <c r="F55" t="s">
        <v>392</v>
      </c>
    </row>
    <row r="56" spans="1:6" x14ac:dyDescent="0.3">
      <c r="A56" t="s">
        <v>182</v>
      </c>
      <c r="B56" s="7" t="s">
        <v>13</v>
      </c>
      <c r="C56" s="11">
        <v>45883</v>
      </c>
      <c r="D56" s="11">
        <v>45902</v>
      </c>
      <c r="E56" s="7" t="s">
        <v>53</v>
      </c>
      <c r="F56" t="s">
        <v>392</v>
      </c>
    </row>
    <row r="57" spans="1:6" x14ac:dyDescent="0.3">
      <c r="A57" t="s">
        <v>183</v>
      </c>
      <c r="B57" t="s">
        <v>114</v>
      </c>
      <c r="C57" s="2">
        <v>45884</v>
      </c>
      <c r="D57" s="2">
        <v>45905</v>
      </c>
      <c r="E57" t="s">
        <v>51</v>
      </c>
      <c r="F57" t="s">
        <v>392</v>
      </c>
    </row>
    <row r="58" spans="1:6" x14ac:dyDescent="0.3">
      <c r="A58" t="s">
        <v>184</v>
      </c>
      <c r="B58" s="7" t="s">
        <v>110</v>
      </c>
      <c r="C58" s="11">
        <v>45887</v>
      </c>
      <c r="D58" s="11">
        <v>45895</v>
      </c>
      <c r="E58" s="7" t="s">
        <v>53</v>
      </c>
      <c r="F58" t="s">
        <v>392</v>
      </c>
    </row>
    <row r="59" spans="1:6" x14ac:dyDescent="0.3">
      <c r="A59" t="s">
        <v>185</v>
      </c>
      <c r="B59" s="7" t="s">
        <v>115</v>
      </c>
      <c r="C59" s="11">
        <v>45887</v>
      </c>
      <c r="D59" s="11">
        <v>45902</v>
      </c>
      <c r="E59" s="7" t="s">
        <v>145</v>
      </c>
      <c r="F59" t="s">
        <v>392</v>
      </c>
    </row>
    <row r="60" spans="1:6" x14ac:dyDescent="0.3">
      <c r="A60" t="s">
        <v>186</v>
      </c>
      <c r="B60" t="s">
        <v>116</v>
      </c>
      <c r="C60" s="2">
        <v>45889</v>
      </c>
      <c r="D60" s="2">
        <v>45894</v>
      </c>
      <c r="E60" t="s">
        <v>53</v>
      </c>
      <c r="F60" t="s">
        <v>392</v>
      </c>
    </row>
    <row r="61" spans="1:6" x14ac:dyDescent="0.3">
      <c r="A61" t="s">
        <v>187</v>
      </c>
      <c r="B61" t="s">
        <v>117</v>
      </c>
      <c r="C61" s="2">
        <v>45889</v>
      </c>
      <c r="D61" s="2">
        <v>45895</v>
      </c>
      <c r="E61" t="s">
        <v>51</v>
      </c>
      <c r="F61" t="s">
        <v>393</v>
      </c>
    </row>
    <row r="62" spans="1:6" x14ac:dyDescent="0.3">
      <c r="A62" t="s">
        <v>188</v>
      </c>
      <c r="B62" t="s">
        <v>118</v>
      </c>
      <c r="C62" s="2">
        <v>45889</v>
      </c>
      <c r="D62" s="2">
        <v>45901</v>
      </c>
      <c r="E62" t="s">
        <v>53</v>
      </c>
      <c r="F62" t="s">
        <v>392</v>
      </c>
    </row>
    <row r="63" spans="1:6" x14ac:dyDescent="0.3">
      <c r="A63" t="s">
        <v>189</v>
      </c>
      <c r="B63" t="s">
        <v>119</v>
      </c>
      <c r="C63" s="2">
        <v>45889</v>
      </c>
      <c r="D63" s="2">
        <v>45895</v>
      </c>
      <c r="E63" t="s">
        <v>51</v>
      </c>
      <c r="F63" t="s">
        <v>393</v>
      </c>
    </row>
    <row r="64" spans="1:6" x14ac:dyDescent="0.3">
      <c r="A64" t="s">
        <v>190</v>
      </c>
      <c r="B64" t="s">
        <v>120</v>
      </c>
      <c r="C64" s="2">
        <v>45890</v>
      </c>
      <c r="D64" s="2">
        <v>45897</v>
      </c>
      <c r="E64" t="s">
        <v>51</v>
      </c>
      <c r="F64" t="s">
        <v>393</v>
      </c>
    </row>
    <row r="65" spans="1:6" x14ac:dyDescent="0.3">
      <c r="A65" t="s">
        <v>191</v>
      </c>
      <c r="B65" t="s">
        <v>121</v>
      </c>
      <c r="C65" s="2">
        <v>45892</v>
      </c>
      <c r="D65" s="2">
        <v>45899</v>
      </c>
      <c r="E65" t="s">
        <v>51</v>
      </c>
      <c r="F65" t="s">
        <v>393</v>
      </c>
    </row>
    <row r="66" spans="1:6" x14ac:dyDescent="0.3">
      <c r="A66" t="s">
        <v>192</v>
      </c>
      <c r="B66" t="s">
        <v>122</v>
      </c>
      <c r="C66" s="2">
        <v>45894</v>
      </c>
      <c r="D66" s="2">
        <v>45909</v>
      </c>
      <c r="E66" t="s">
        <v>51</v>
      </c>
      <c r="F66" t="s">
        <v>393</v>
      </c>
    </row>
    <row r="67" spans="1:6" x14ac:dyDescent="0.3">
      <c r="A67" t="s">
        <v>193</v>
      </c>
      <c r="B67" s="7" t="s">
        <v>115</v>
      </c>
      <c r="C67" s="11">
        <v>45894</v>
      </c>
      <c r="D67" s="11">
        <v>45912</v>
      </c>
      <c r="E67" s="7" t="s">
        <v>145</v>
      </c>
      <c r="F67" t="s">
        <v>392</v>
      </c>
    </row>
    <row r="68" spans="1:6" x14ac:dyDescent="0.3">
      <c r="A68" t="s">
        <v>194</v>
      </c>
      <c r="B68" t="s">
        <v>123</v>
      </c>
      <c r="C68" s="2">
        <v>45901</v>
      </c>
      <c r="D68" s="2">
        <v>45914</v>
      </c>
      <c r="E68" t="s">
        <v>53</v>
      </c>
      <c r="F68" t="s">
        <v>392</v>
      </c>
    </row>
    <row r="69" spans="1:6" x14ac:dyDescent="0.3">
      <c r="A69" t="s">
        <v>195</v>
      </c>
      <c r="B69" t="s">
        <v>124</v>
      </c>
      <c r="C69" s="2">
        <v>45903</v>
      </c>
      <c r="D69" s="2">
        <v>45916</v>
      </c>
      <c r="E69" t="s">
        <v>135</v>
      </c>
      <c r="F69" t="s">
        <v>392</v>
      </c>
    </row>
    <row r="70" spans="1:6" x14ac:dyDescent="0.3">
      <c r="A70" t="s">
        <v>196</v>
      </c>
      <c r="B70" t="s">
        <v>125</v>
      </c>
      <c r="C70" s="2">
        <v>45905</v>
      </c>
      <c r="D70" s="2">
        <v>45910</v>
      </c>
      <c r="E70" t="s">
        <v>51</v>
      </c>
      <c r="F70" t="s">
        <v>393</v>
      </c>
    </row>
    <row r="71" spans="1:6" x14ac:dyDescent="0.3">
      <c r="A71" t="s">
        <v>197</v>
      </c>
      <c r="B71" t="s">
        <v>126</v>
      </c>
      <c r="C71" s="2">
        <v>45905</v>
      </c>
      <c r="D71" s="2">
        <v>45925</v>
      </c>
      <c r="E71" t="s">
        <v>136</v>
      </c>
      <c r="F71" t="s">
        <v>392</v>
      </c>
    </row>
    <row r="72" spans="1:6" x14ac:dyDescent="0.3">
      <c r="A72" t="s">
        <v>198</v>
      </c>
      <c r="B72" s="7" t="s">
        <v>13</v>
      </c>
      <c r="C72" s="11">
        <v>45905</v>
      </c>
      <c r="D72" s="11">
        <v>45918</v>
      </c>
      <c r="E72" s="7" t="s">
        <v>51</v>
      </c>
      <c r="F72" t="s">
        <v>392</v>
      </c>
    </row>
    <row r="73" spans="1:6" x14ac:dyDescent="0.3">
      <c r="A73" t="s">
        <v>199</v>
      </c>
      <c r="B73" t="s">
        <v>127</v>
      </c>
      <c r="C73" s="2">
        <v>45906</v>
      </c>
      <c r="D73" s="2">
        <v>45921</v>
      </c>
      <c r="E73" t="s">
        <v>135</v>
      </c>
      <c r="F73" t="s">
        <v>392</v>
      </c>
    </row>
    <row r="74" spans="1:6" x14ac:dyDescent="0.3">
      <c r="A74" t="s">
        <v>200</v>
      </c>
      <c r="B74" t="s">
        <v>128</v>
      </c>
      <c r="C74" s="2">
        <v>45907</v>
      </c>
      <c r="D74" s="2">
        <v>45920</v>
      </c>
      <c r="E74" t="s">
        <v>136</v>
      </c>
      <c r="F74" t="s">
        <v>392</v>
      </c>
    </row>
    <row r="75" spans="1:6" x14ac:dyDescent="0.3">
      <c r="A75" t="s">
        <v>201</v>
      </c>
      <c r="B75" s="7" t="s">
        <v>129</v>
      </c>
      <c r="C75" s="11">
        <v>45908</v>
      </c>
      <c r="D75" s="11">
        <v>45924</v>
      </c>
      <c r="E75" s="7" t="s">
        <v>134</v>
      </c>
      <c r="F75" t="s">
        <v>392</v>
      </c>
    </row>
    <row r="76" spans="1:6" x14ac:dyDescent="0.3">
      <c r="A76" t="s">
        <v>202</v>
      </c>
      <c r="B76" t="s">
        <v>130</v>
      </c>
      <c r="C76" s="2">
        <v>45910</v>
      </c>
      <c r="D76" s="2">
        <v>45928</v>
      </c>
      <c r="E76" t="s">
        <v>51</v>
      </c>
      <c r="F76" t="s">
        <v>392</v>
      </c>
    </row>
    <row r="77" spans="1:6" x14ac:dyDescent="0.3">
      <c r="A77" t="s">
        <v>203</v>
      </c>
      <c r="B77" t="s">
        <v>131</v>
      </c>
      <c r="C77" s="2">
        <v>45912</v>
      </c>
      <c r="D77" s="2">
        <v>45927</v>
      </c>
      <c r="E77" t="s">
        <v>152</v>
      </c>
      <c r="F77" t="s">
        <v>392</v>
      </c>
    </row>
    <row r="78" spans="1:6" x14ac:dyDescent="0.3">
      <c r="A78" t="s">
        <v>204</v>
      </c>
      <c r="B78" s="7" t="s">
        <v>110</v>
      </c>
      <c r="C78" s="11">
        <v>45914</v>
      </c>
      <c r="D78" s="11">
        <v>45925</v>
      </c>
      <c r="E78" s="7" t="s">
        <v>53</v>
      </c>
      <c r="F78" t="s">
        <v>392</v>
      </c>
    </row>
    <row r="79" spans="1:6" x14ac:dyDescent="0.3">
      <c r="A79" t="s">
        <v>205</v>
      </c>
      <c r="B79" t="s">
        <v>132</v>
      </c>
      <c r="C79" s="2">
        <v>45915</v>
      </c>
      <c r="D79" s="2">
        <v>45933</v>
      </c>
      <c r="E79" t="s">
        <v>53</v>
      </c>
      <c r="F79" t="s">
        <v>392</v>
      </c>
    </row>
    <row r="80" spans="1:6" x14ac:dyDescent="0.3">
      <c r="A80" t="s">
        <v>215</v>
      </c>
      <c r="B80" t="s">
        <v>150</v>
      </c>
      <c r="C80" s="2">
        <v>45915</v>
      </c>
      <c r="D80" s="2">
        <v>45935</v>
      </c>
      <c r="E80" t="s">
        <v>53</v>
      </c>
      <c r="F80" t="s">
        <v>392</v>
      </c>
    </row>
    <row r="81" spans="1:6" x14ac:dyDescent="0.3">
      <c r="A81" t="s">
        <v>216</v>
      </c>
      <c r="B81" t="s">
        <v>151</v>
      </c>
      <c r="C81" s="11">
        <v>45916</v>
      </c>
      <c r="D81" s="11">
        <v>45918</v>
      </c>
      <c r="E81" s="7" t="s">
        <v>51</v>
      </c>
      <c r="F81" t="s">
        <v>393</v>
      </c>
    </row>
    <row r="82" spans="1:6" x14ac:dyDescent="0.3">
      <c r="A82" t="s">
        <v>217</v>
      </c>
      <c r="B82" t="s">
        <v>208</v>
      </c>
      <c r="C82" s="2">
        <v>45918</v>
      </c>
      <c r="D82" s="2">
        <v>45922</v>
      </c>
      <c r="E82" t="s">
        <v>51</v>
      </c>
      <c r="F82" t="s">
        <v>393</v>
      </c>
    </row>
    <row r="83" spans="1:6" x14ac:dyDescent="0.3">
      <c r="A83" t="s">
        <v>218</v>
      </c>
      <c r="B83" t="s">
        <v>209</v>
      </c>
      <c r="C83" s="2">
        <v>45920</v>
      </c>
      <c r="D83" s="2">
        <v>45925</v>
      </c>
      <c r="E83" t="s">
        <v>51</v>
      </c>
      <c r="F83" t="s">
        <v>392</v>
      </c>
    </row>
    <row r="84" spans="1:6" x14ac:dyDescent="0.3">
      <c r="A84" t="s">
        <v>219</v>
      </c>
      <c r="B84" t="s">
        <v>210</v>
      </c>
      <c r="C84" s="2">
        <v>45920</v>
      </c>
      <c r="D84" s="2">
        <v>45934</v>
      </c>
      <c r="E84" t="s">
        <v>49</v>
      </c>
      <c r="F84" t="s">
        <v>392</v>
      </c>
    </row>
    <row r="85" spans="1:6" x14ac:dyDescent="0.3">
      <c r="A85" t="s">
        <v>220</v>
      </c>
      <c r="B85" t="s">
        <v>211</v>
      </c>
      <c r="C85" s="2">
        <v>45920</v>
      </c>
      <c r="D85" s="2">
        <v>45936</v>
      </c>
      <c r="E85" t="s">
        <v>224</v>
      </c>
      <c r="F85" t="s">
        <v>392</v>
      </c>
    </row>
    <row r="86" spans="1:6" x14ac:dyDescent="0.3">
      <c r="A86" t="s">
        <v>221</v>
      </c>
      <c r="B86" t="s">
        <v>212</v>
      </c>
      <c r="C86" s="2">
        <v>45920</v>
      </c>
      <c r="D86" s="2">
        <v>45936</v>
      </c>
      <c r="E86" t="s">
        <v>53</v>
      </c>
      <c r="F86" t="s">
        <v>392</v>
      </c>
    </row>
    <row r="87" spans="1:6" x14ac:dyDescent="0.3">
      <c r="A87" t="s">
        <v>239</v>
      </c>
      <c r="B87" t="s">
        <v>213</v>
      </c>
      <c r="C87" s="2">
        <v>45921</v>
      </c>
      <c r="D87" s="2">
        <v>45936</v>
      </c>
      <c r="E87" t="s">
        <v>135</v>
      </c>
      <c r="F87" t="s">
        <v>392</v>
      </c>
    </row>
    <row r="88" spans="1:6" x14ac:dyDescent="0.3">
      <c r="A88" t="s">
        <v>240</v>
      </c>
      <c r="B88" t="s">
        <v>214</v>
      </c>
      <c r="C88" s="2">
        <v>45925</v>
      </c>
      <c r="D88" s="2">
        <v>45937</v>
      </c>
      <c r="E88" t="s">
        <v>53</v>
      </c>
      <c r="F88" t="s">
        <v>392</v>
      </c>
    </row>
    <row r="89" spans="1:6" x14ac:dyDescent="0.3">
      <c r="A89" t="s">
        <v>241</v>
      </c>
      <c r="B89" t="s">
        <v>228</v>
      </c>
      <c r="C89" s="2">
        <v>45925</v>
      </c>
      <c r="D89" s="2">
        <v>45937</v>
      </c>
      <c r="E89" t="s">
        <v>49</v>
      </c>
      <c r="F89" t="s">
        <v>392</v>
      </c>
    </row>
    <row r="90" spans="1:6" x14ac:dyDescent="0.3">
      <c r="A90" t="s">
        <v>242</v>
      </c>
      <c r="B90" t="s">
        <v>229</v>
      </c>
      <c r="C90" s="2">
        <v>45926</v>
      </c>
      <c r="D90" s="2">
        <v>45938</v>
      </c>
      <c r="E90" t="s">
        <v>53</v>
      </c>
      <c r="F90" t="s">
        <v>392</v>
      </c>
    </row>
    <row r="91" spans="1:6" x14ac:dyDescent="0.3">
      <c r="A91" t="s">
        <v>243</v>
      </c>
      <c r="B91" t="s">
        <v>230</v>
      </c>
      <c r="C91" s="2">
        <v>45927</v>
      </c>
      <c r="D91" s="2">
        <v>45939</v>
      </c>
      <c r="E91" t="s">
        <v>51</v>
      </c>
      <c r="F91" t="s">
        <v>393</v>
      </c>
    </row>
    <row r="92" spans="1:6" x14ac:dyDescent="0.3">
      <c r="A92" t="s">
        <v>244</v>
      </c>
      <c r="B92" t="s">
        <v>231</v>
      </c>
      <c r="C92" s="2">
        <v>45928</v>
      </c>
      <c r="D92" s="2">
        <v>45941</v>
      </c>
      <c r="E92" t="s">
        <v>53</v>
      </c>
      <c r="F92" t="s">
        <v>393</v>
      </c>
    </row>
    <row r="93" spans="1:6" x14ac:dyDescent="0.3">
      <c r="A93" t="s">
        <v>245</v>
      </c>
      <c r="B93" t="s">
        <v>232</v>
      </c>
      <c r="C93" s="2">
        <v>45928</v>
      </c>
      <c r="D93" s="2">
        <v>45942</v>
      </c>
      <c r="E93" t="s">
        <v>53</v>
      </c>
      <c r="F93" t="s">
        <v>392</v>
      </c>
    </row>
    <row r="94" spans="1:6" x14ac:dyDescent="0.3">
      <c r="A94" t="s">
        <v>246</v>
      </c>
      <c r="B94" t="s">
        <v>233</v>
      </c>
      <c r="C94" s="2">
        <v>45929</v>
      </c>
      <c r="D94" s="2">
        <v>45944</v>
      </c>
      <c r="E94" t="s">
        <v>134</v>
      </c>
      <c r="F94" t="s">
        <v>392</v>
      </c>
    </row>
    <row r="95" spans="1:6" x14ac:dyDescent="0.3">
      <c r="A95" t="s">
        <v>247</v>
      </c>
      <c r="B95" t="s">
        <v>234</v>
      </c>
      <c r="C95" s="2">
        <v>45930</v>
      </c>
      <c r="D95" s="2">
        <v>45943</v>
      </c>
      <c r="E95" t="s">
        <v>51</v>
      </c>
      <c r="F95" t="s">
        <v>393</v>
      </c>
    </row>
    <row r="96" spans="1:6" x14ac:dyDescent="0.3">
      <c r="A96" t="s">
        <v>248</v>
      </c>
      <c r="B96" s="7" t="s">
        <v>13</v>
      </c>
      <c r="C96" s="2">
        <v>45931</v>
      </c>
      <c r="D96" s="2">
        <v>45945</v>
      </c>
      <c r="E96" t="s">
        <v>49</v>
      </c>
      <c r="F96" t="s">
        <v>392</v>
      </c>
    </row>
    <row r="97" spans="1:6" x14ac:dyDescent="0.3">
      <c r="A97" t="s">
        <v>249</v>
      </c>
      <c r="B97" t="s">
        <v>235</v>
      </c>
      <c r="C97" s="2">
        <v>45931</v>
      </c>
      <c r="D97" s="2">
        <v>45944</v>
      </c>
      <c r="E97" t="s">
        <v>135</v>
      </c>
      <c r="F97" t="s">
        <v>392</v>
      </c>
    </row>
    <row r="98" spans="1:6" x14ac:dyDescent="0.3">
      <c r="A98" t="s">
        <v>250</v>
      </c>
      <c r="B98" t="s">
        <v>236</v>
      </c>
      <c r="C98" s="2">
        <v>45932</v>
      </c>
      <c r="D98" s="2">
        <v>45945</v>
      </c>
      <c r="E98" t="s">
        <v>135</v>
      </c>
      <c r="F98" t="s">
        <v>392</v>
      </c>
    </row>
    <row r="99" spans="1:6" x14ac:dyDescent="0.3">
      <c r="A99" t="s">
        <v>251</v>
      </c>
      <c r="B99" t="s">
        <v>237</v>
      </c>
      <c r="C99" s="2">
        <v>45932</v>
      </c>
      <c r="D99" s="2">
        <v>45946</v>
      </c>
      <c r="E99" t="s">
        <v>49</v>
      </c>
      <c r="F99" t="s">
        <v>392</v>
      </c>
    </row>
    <row r="100" spans="1:6" x14ac:dyDescent="0.3">
      <c r="A100" t="s">
        <v>252</v>
      </c>
      <c r="B100" t="s">
        <v>238</v>
      </c>
      <c r="C100" s="2">
        <v>45933</v>
      </c>
      <c r="D100" s="2">
        <v>45964</v>
      </c>
      <c r="E100" t="s">
        <v>53</v>
      </c>
      <c r="F100" t="s">
        <v>392</v>
      </c>
    </row>
    <row r="101" spans="1:6" x14ac:dyDescent="0.3">
      <c r="A101" t="s">
        <v>253</v>
      </c>
      <c r="B101" t="s">
        <v>309</v>
      </c>
      <c r="C101" s="2">
        <v>45933</v>
      </c>
      <c r="D101" s="2">
        <v>45944</v>
      </c>
      <c r="E101" t="s">
        <v>53</v>
      </c>
      <c r="F101" t="s">
        <v>392</v>
      </c>
    </row>
    <row r="102" spans="1:6" x14ac:dyDescent="0.3">
      <c r="A102" t="s">
        <v>254</v>
      </c>
      <c r="B102" t="s">
        <v>310</v>
      </c>
      <c r="C102" s="2">
        <v>45933</v>
      </c>
      <c r="D102" s="2">
        <v>45944</v>
      </c>
      <c r="E102" t="s">
        <v>49</v>
      </c>
      <c r="F102" t="s">
        <v>392</v>
      </c>
    </row>
    <row r="103" spans="1:6" x14ac:dyDescent="0.3">
      <c r="A103" t="s">
        <v>270</v>
      </c>
      <c r="B103" t="s">
        <v>311</v>
      </c>
      <c r="C103" s="2">
        <v>45933</v>
      </c>
      <c r="D103" s="2">
        <v>45946</v>
      </c>
      <c r="E103" t="s">
        <v>51</v>
      </c>
      <c r="F103" t="s">
        <v>393</v>
      </c>
    </row>
    <row r="104" spans="1:6" x14ac:dyDescent="0.3">
      <c r="A104" t="s">
        <v>271</v>
      </c>
      <c r="B104" t="s">
        <v>312</v>
      </c>
      <c r="C104" s="2">
        <v>45934</v>
      </c>
      <c r="D104" s="2">
        <v>45946</v>
      </c>
      <c r="E104" t="s">
        <v>51</v>
      </c>
      <c r="F104" t="s">
        <v>393</v>
      </c>
    </row>
    <row r="105" spans="1:6" x14ac:dyDescent="0.3">
      <c r="A105" t="s">
        <v>272</v>
      </c>
      <c r="B105" s="7" t="s">
        <v>74</v>
      </c>
      <c r="C105" s="2">
        <v>45935</v>
      </c>
      <c r="D105" s="2">
        <v>45945</v>
      </c>
      <c r="E105" t="s">
        <v>51</v>
      </c>
      <c r="F105" t="s">
        <v>393</v>
      </c>
    </row>
    <row r="106" spans="1:6" x14ac:dyDescent="0.3">
      <c r="A106" t="s">
        <v>273</v>
      </c>
      <c r="B106" t="s">
        <v>313</v>
      </c>
      <c r="C106" s="2">
        <v>45935</v>
      </c>
      <c r="D106" s="2">
        <v>45947</v>
      </c>
      <c r="E106" t="s">
        <v>135</v>
      </c>
      <c r="F106" t="s">
        <v>392</v>
      </c>
    </row>
    <row r="107" spans="1:6" x14ac:dyDescent="0.3">
      <c r="A107" t="s">
        <v>274</v>
      </c>
      <c r="B107" t="s">
        <v>314</v>
      </c>
      <c r="C107" s="2">
        <v>45937</v>
      </c>
      <c r="D107" s="2">
        <v>45947</v>
      </c>
      <c r="E107" t="s">
        <v>49</v>
      </c>
      <c r="F107" t="s">
        <v>392</v>
      </c>
    </row>
    <row r="108" spans="1:6" x14ac:dyDescent="0.3">
      <c r="A108" t="s">
        <v>275</v>
      </c>
      <c r="B108" t="s">
        <v>315</v>
      </c>
      <c r="C108" s="2">
        <v>45937</v>
      </c>
      <c r="D108" s="2">
        <v>45947</v>
      </c>
      <c r="E108" t="s">
        <v>53</v>
      </c>
      <c r="F108" t="s">
        <v>392</v>
      </c>
    </row>
    <row r="109" spans="1:6" x14ac:dyDescent="0.3">
      <c r="A109" t="s">
        <v>276</v>
      </c>
      <c r="B109" t="s">
        <v>316</v>
      </c>
      <c r="C109" s="2">
        <v>45938</v>
      </c>
      <c r="D109" s="2">
        <v>45947</v>
      </c>
      <c r="E109" t="s">
        <v>53</v>
      </c>
      <c r="F109" t="s">
        <v>392</v>
      </c>
    </row>
    <row r="110" spans="1:6" x14ac:dyDescent="0.3">
      <c r="A110" t="s">
        <v>277</v>
      </c>
      <c r="B110" t="s">
        <v>317</v>
      </c>
      <c r="C110" s="2">
        <v>45938</v>
      </c>
      <c r="D110" s="2">
        <v>45948</v>
      </c>
      <c r="E110" t="s">
        <v>53</v>
      </c>
      <c r="F110" t="s">
        <v>392</v>
      </c>
    </row>
    <row r="111" spans="1:6" x14ac:dyDescent="0.3">
      <c r="A111" t="s">
        <v>278</v>
      </c>
      <c r="B111" t="s">
        <v>318</v>
      </c>
      <c r="C111" s="2">
        <v>45940</v>
      </c>
      <c r="D111" s="2">
        <v>45948</v>
      </c>
      <c r="E111" t="s">
        <v>53</v>
      </c>
      <c r="F111" t="s">
        <v>393</v>
      </c>
    </row>
    <row r="112" spans="1:6" x14ac:dyDescent="0.3">
      <c r="A112" t="s">
        <v>279</v>
      </c>
      <c r="B112" t="s">
        <v>319</v>
      </c>
      <c r="C112" s="2">
        <v>45940</v>
      </c>
      <c r="D112" s="2">
        <v>45950</v>
      </c>
      <c r="E112" t="s">
        <v>53</v>
      </c>
      <c r="F112" t="s">
        <v>393</v>
      </c>
    </row>
    <row r="113" spans="1:6" x14ac:dyDescent="0.3">
      <c r="A113" t="s">
        <v>280</v>
      </c>
      <c r="B113" t="s">
        <v>320</v>
      </c>
      <c r="C113" s="2">
        <v>45941</v>
      </c>
      <c r="D113" s="2">
        <v>45949</v>
      </c>
      <c r="E113" t="s">
        <v>51</v>
      </c>
      <c r="F113" t="s">
        <v>393</v>
      </c>
    </row>
    <row r="114" spans="1:6" x14ac:dyDescent="0.3">
      <c r="A114" t="s">
        <v>281</v>
      </c>
      <c r="B114" t="s">
        <v>321</v>
      </c>
      <c r="C114" s="2">
        <v>45942</v>
      </c>
      <c r="D114" s="2">
        <v>45949</v>
      </c>
      <c r="E114" t="s">
        <v>51</v>
      </c>
      <c r="F114" t="s">
        <v>393</v>
      </c>
    </row>
    <row r="115" spans="1:6" x14ac:dyDescent="0.3">
      <c r="A115" t="s">
        <v>282</v>
      </c>
      <c r="B115" t="s">
        <v>322</v>
      </c>
      <c r="C115" s="2">
        <v>45942</v>
      </c>
      <c r="D115" s="2">
        <v>45950</v>
      </c>
      <c r="E115" t="s">
        <v>135</v>
      </c>
      <c r="F115" t="s">
        <v>392</v>
      </c>
    </row>
    <row r="116" spans="1:6" x14ac:dyDescent="0.3">
      <c r="A116" t="s">
        <v>283</v>
      </c>
      <c r="B116" t="s">
        <v>323</v>
      </c>
      <c r="C116" s="2">
        <v>45942</v>
      </c>
      <c r="D116" s="2">
        <v>45951</v>
      </c>
      <c r="E116" t="s">
        <v>49</v>
      </c>
      <c r="F116" t="s">
        <v>392</v>
      </c>
    </row>
    <row r="117" spans="1:6" x14ac:dyDescent="0.3">
      <c r="A117" t="s">
        <v>284</v>
      </c>
      <c r="B117" t="s">
        <v>324</v>
      </c>
      <c r="C117" s="2">
        <v>45942</v>
      </c>
      <c r="D117" s="2">
        <v>45952</v>
      </c>
      <c r="E117" t="s">
        <v>134</v>
      </c>
      <c r="F117" t="s">
        <v>392</v>
      </c>
    </row>
    <row r="118" spans="1:6" x14ac:dyDescent="0.3">
      <c r="A118" t="s">
        <v>285</v>
      </c>
      <c r="B118" t="s">
        <v>325</v>
      </c>
      <c r="C118" s="2">
        <v>45943</v>
      </c>
      <c r="D118" s="2">
        <v>45951</v>
      </c>
      <c r="E118" t="s">
        <v>51</v>
      </c>
      <c r="F118" t="s">
        <v>393</v>
      </c>
    </row>
    <row r="119" spans="1:6" x14ac:dyDescent="0.3">
      <c r="A119" t="s">
        <v>286</v>
      </c>
      <c r="B119" t="s">
        <v>326</v>
      </c>
      <c r="C119" s="2">
        <v>45943</v>
      </c>
      <c r="D119" s="2">
        <v>45953</v>
      </c>
      <c r="E119" t="s">
        <v>53</v>
      </c>
      <c r="F119" t="s">
        <v>392</v>
      </c>
    </row>
    <row r="120" spans="1:6" x14ac:dyDescent="0.3">
      <c r="A120" t="s">
        <v>287</v>
      </c>
      <c r="B120" s="7" t="s">
        <v>110</v>
      </c>
      <c r="C120" s="2">
        <v>45944</v>
      </c>
      <c r="D120" s="11">
        <v>45954</v>
      </c>
      <c r="E120" s="7" t="s">
        <v>53</v>
      </c>
      <c r="F120" t="s">
        <v>393</v>
      </c>
    </row>
    <row r="121" spans="1:6" x14ac:dyDescent="0.3">
      <c r="A121" t="s">
        <v>288</v>
      </c>
      <c r="B121" t="s">
        <v>327</v>
      </c>
      <c r="C121" s="2">
        <v>45945</v>
      </c>
      <c r="D121" s="2">
        <v>45952</v>
      </c>
      <c r="E121" t="s">
        <v>53</v>
      </c>
      <c r="F121" t="s">
        <v>392</v>
      </c>
    </row>
    <row r="122" spans="1:6" x14ac:dyDescent="0.3">
      <c r="A122" t="s">
        <v>289</v>
      </c>
      <c r="B122" s="7" t="s">
        <v>13</v>
      </c>
      <c r="C122" s="2">
        <v>45945</v>
      </c>
      <c r="D122" s="2">
        <v>45955</v>
      </c>
      <c r="E122" t="s">
        <v>92</v>
      </c>
      <c r="F122" t="s">
        <v>392</v>
      </c>
    </row>
    <row r="123" spans="1:6" x14ac:dyDescent="0.3">
      <c r="A123" t="s">
        <v>290</v>
      </c>
      <c r="B123" s="7" t="s">
        <v>74</v>
      </c>
      <c r="C123" s="2">
        <v>45946</v>
      </c>
      <c r="D123" s="2">
        <v>45956</v>
      </c>
      <c r="E123" t="s">
        <v>51</v>
      </c>
      <c r="F123" t="s">
        <v>392</v>
      </c>
    </row>
    <row r="124" spans="1:6" x14ac:dyDescent="0.3">
      <c r="A124" t="s">
        <v>291</v>
      </c>
      <c r="B124" s="7" t="s">
        <v>13</v>
      </c>
      <c r="C124" s="2">
        <v>45947</v>
      </c>
      <c r="D124" s="2">
        <v>45957</v>
      </c>
      <c r="E124" t="s">
        <v>53</v>
      </c>
      <c r="F124" t="s">
        <v>392</v>
      </c>
    </row>
    <row r="125" spans="1:6" x14ac:dyDescent="0.3">
      <c r="A125" t="s">
        <v>292</v>
      </c>
      <c r="B125" t="s">
        <v>328</v>
      </c>
      <c r="C125" s="2">
        <v>45948</v>
      </c>
      <c r="D125" s="2">
        <v>45958</v>
      </c>
      <c r="E125" t="s">
        <v>49</v>
      </c>
      <c r="F125" t="s">
        <v>392</v>
      </c>
    </row>
    <row r="126" spans="1:6" x14ac:dyDescent="0.3">
      <c r="A126" t="s">
        <v>293</v>
      </c>
      <c r="B126" t="s">
        <v>329</v>
      </c>
      <c r="C126" s="2">
        <v>45950</v>
      </c>
      <c r="D126" s="2">
        <v>45962</v>
      </c>
      <c r="E126" t="s">
        <v>53</v>
      </c>
      <c r="F126" t="s">
        <v>392</v>
      </c>
    </row>
    <row r="127" spans="1:6" x14ac:dyDescent="0.3">
      <c r="A127" t="s">
        <v>294</v>
      </c>
      <c r="B127" t="s">
        <v>330</v>
      </c>
      <c r="C127" s="2">
        <v>45951</v>
      </c>
      <c r="D127" s="2">
        <v>45963</v>
      </c>
      <c r="E127" t="s">
        <v>53</v>
      </c>
      <c r="F127" t="s">
        <v>392</v>
      </c>
    </row>
    <row r="128" spans="1:6" x14ac:dyDescent="0.3">
      <c r="A128" t="s">
        <v>295</v>
      </c>
      <c r="B128" t="s">
        <v>331</v>
      </c>
      <c r="C128" s="2">
        <v>45951</v>
      </c>
      <c r="D128" s="2">
        <v>45958</v>
      </c>
      <c r="E128" t="s">
        <v>51</v>
      </c>
      <c r="F128" t="s">
        <v>393</v>
      </c>
    </row>
    <row r="129" spans="1:6" x14ac:dyDescent="0.3">
      <c r="A129" t="s">
        <v>296</v>
      </c>
      <c r="B129" t="s">
        <v>332</v>
      </c>
      <c r="C129" s="2">
        <v>45952</v>
      </c>
      <c r="D129" s="2">
        <v>45964</v>
      </c>
      <c r="E129" t="s">
        <v>51</v>
      </c>
      <c r="F129" t="s">
        <v>393</v>
      </c>
    </row>
    <row r="130" spans="1:6" x14ac:dyDescent="0.3">
      <c r="A130" t="s">
        <v>297</v>
      </c>
      <c r="B130" t="s">
        <v>333</v>
      </c>
      <c r="C130" s="2">
        <v>45952</v>
      </c>
      <c r="D130" s="2">
        <v>45960</v>
      </c>
      <c r="E130" t="s">
        <v>53</v>
      </c>
      <c r="F130" t="s">
        <v>392</v>
      </c>
    </row>
    <row r="131" spans="1:6" x14ac:dyDescent="0.3">
      <c r="A131" t="s">
        <v>298</v>
      </c>
      <c r="B131" t="s">
        <v>334</v>
      </c>
      <c r="C131" s="2">
        <v>45953</v>
      </c>
      <c r="D131" s="2">
        <v>45961</v>
      </c>
      <c r="E131" t="s">
        <v>51</v>
      </c>
      <c r="F131" t="s">
        <v>393</v>
      </c>
    </row>
    <row r="132" spans="1:6" x14ac:dyDescent="0.3">
      <c r="A132" t="s">
        <v>299</v>
      </c>
      <c r="B132" t="s">
        <v>335</v>
      </c>
      <c r="C132" s="2">
        <v>45953</v>
      </c>
      <c r="D132" s="2">
        <v>45971</v>
      </c>
      <c r="E132" t="s">
        <v>53</v>
      </c>
      <c r="F132" t="s">
        <v>392</v>
      </c>
    </row>
    <row r="133" spans="1:6" x14ac:dyDescent="0.3">
      <c r="A133" t="s">
        <v>300</v>
      </c>
      <c r="B133" t="s">
        <v>336</v>
      </c>
      <c r="C133" s="2">
        <v>45954</v>
      </c>
      <c r="D133" s="2">
        <v>45958</v>
      </c>
      <c r="E133" t="s">
        <v>51</v>
      </c>
      <c r="F133" t="s">
        <v>393</v>
      </c>
    </row>
    <row r="134" spans="1:6" x14ac:dyDescent="0.3">
      <c r="A134" t="s">
        <v>301</v>
      </c>
      <c r="B134" s="7" t="s">
        <v>13</v>
      </c>
      <c r="C134" s="2">
        <v>45955</v>
      </c>
      <c r="D134" s="2">
        <v>45964</v>
      </c>
      <c r="E134" t="s">
        <v>53</v>
      </c>
      <c r="F134" t="s">
        <v>392</v>
      </c>
    </row>
    <row r="135" spans="1:6" x14ac:dyDescent="0.3">
      <c r="A135" t="s">
        <v>302</v>
      </c>
      <c r="B135" t="s">
        <v>337</v>
      </c>
      <c r="C135" s="2">
        <v>45955</v>
      </c>
      <c r="D135" s="2">
        <v>45963</v>
      </c>
      <c r="E135" t="s">
        <v>51</v>
      </c>
      <c r="F135" t="s">
        <v>393</v>
      </c>
    </row>
    <row r="136" spans="1:6" x14ac:dyDescent="0.3">
      <c r="A136" t="s">
        <v>303</v>
      </c>
      <c r="B136" t="s">
        <v>338</v>
      </c>
      <c r="C136" s="2">
        <v>45955</v>
      </c>
      <c r="D136" s="2">
        <v>45966</v>
      </c>
      <c r="E136" t="s">
        <v>53</v>
      </c>
      <c r="F136" t="s">
        <v>392</v>
      </c>
    </row>
    <row r="137" spans="1:6" x14ac:dyDescent="0.3">
      <c r="A137" t="s">
        <v>304</v>
      </c>
      <c r="B137" t="s">
        <v>339</v>
      </c>
      <c r="C137" s="2">
        <v>45955</v>
      </c>
      <c r="D137" s="2">
        <v>45973</v>
      </c>
      <c r="E137" t="s">
        <v>53</v>
      </c>
      <c r="F137" t="s">
        <v>392</v>
      </c>
    </row>
    <row r="138" spans="1:6" x14ac:dyDescent="0.3">
      <c r="A138" t="s">
        <v>305</v>
      </c>
      <c r="B138" t="s">
        <v>340</v>
      </c>
      <c r="C138" s="2">
        <v>45956</v>
      </c>
      <c r="D138" s="2">
        <v>45968</v>
      </c>
      <c r="E138" t="s">
        <v>51</v>
      </c>
      <c r="F138" t="s">
        <v>393</v>
      </c>
    </row>
    <row r="139" spans="1:6" x14ac:dyDescent="0.3">
      <c r="A139" t="s">
        <v>306</v>
      </c>
      <c r="B139" t="s">
        <v>341</v>
      </c>
      <c r="C139" s="2">
        <v>45957</v>
      </c>
      <c r="D139" s="2">
        <v>45972</v>
      </c>
      <c r="E139" t="s">
        <v>49</v>
      </c>
      <c r="F139" t="s">
        <v>392</v>
      </c>
    </row>
    <row r="140" spans="1:6" x14ac:dyDescent="0.3">
      <c r="A140" t="s">
        <v>307</v>
      </c>
      <c r="B140" t="s">
        <v>342</v>
      </c>
      <c r="C140" s="2">
        <v>45958</v>
      </c>
      <c r="D140" s="2">
        <v>45978</v>
      </c>
      <c r="E140" t="s">
        <v>135</v>
      </c>
      <c r="F140" t="s">
        <v>392</v>
      </c>
    </row>
    <row r="141" spans="1:6" x14ac:dyDescent="0.3">
      <c r="A141" t="s">
        <v>308</v>
      </c>
      <c r="B141" t="s">
        <v>343</v>
      </c>
      <c r="C141" s="2">
        <v>45962</v>
      </c>
      <c r="D141" s="2">
        <v>45965</v>
      </c>
      <c r="E141" t="s">
        <v>51</v>
      </c>
      <c r="F141" t="s">
        <v>393</v>
      </c>
    </row>
    <row r="142" spans="1:6" x14ac:dyDescent="0.3">
      <c r="A142" t="s">
        <v>352</v>
      </c>
      <c r="B142" t="s">
        <v>344</v>
      </c>
      <c r="C142" s="2">
        <v>45963</v>
      </c>
      <c r="D142" s="2">
        <v>45980</v>
      </c>
      <c r="E142" t="s">
        <v>53</v>
      </c>
      <c r="F142" t="s">
        <v>392</v>
      </c>
    </row>
    <row r="143" spans="1:6" x14ac:dyDescent="0.3">
      <c r="A143" t="s">
        <v>353</v>
      </c>
      <c r="B143" t="s">
        <v>345</v>
      </c>
      <c r="C143" s="2">
        <v>45966</v>
      </c>
      <c r="D143" s="2">
        <v>45977</v>
      </c>
      <c r="E143" t="s">
        <v>53</v>
      </c>
      <c r="F143" t="s">
        <v>392</v>
      </c>
    </row>
    <row r="144" spans="1:6" x14ac:dyDescent="0.3">
      <c r="A144" t="s">
        <v>354</v>
      </c>
      <c r="B144" t="s">
        <v>346</v>
      </c>
      <c r="C144" s="2">
        <v>45970</v>
      </c>
      <c r="D144" s="2">
        <v>45974</v>
      </c>
      <c r="E144" t="s">
        <v>51</v>
      </c>
      <c r="F144" t="s">
        <v>393</v>
      </c>
    </row>
    <row r="145" spans="1:6" x14ac:dyDescent="0.3">
      <c r="A145" t="s">
        <v>355</v>
      </c>
      <c r="B145" t="s">
        <v>347</v>
      </c>
      <c r="C145" s="2">
        <v>45971</v>
      </c>
      <c r="D145" s="2">
        <v>45986</v>
      </c>
      <c r="E145" t="s">
        <v>51</v>
      </c>
      <c r="F145" t="s">
        <v>393</v>
      </c>
    </row>
    <row r="146" spans="1:6" x14ac:dyDescent="0.3">
      <c r="A146" t="s">
        <v>356</v>
      </c>
      <c r="B146" t="s">
        <v>348</v>
      </c>
      <c r="C146" s="2">
        <v>45980</v>
      </c>
      <c r="D146" s="2">
        <v>45987</v>
      </c>
      <c r="E146" t="s">
        <v>51</v>
      </c>
      <c r="F146" t="s">
        <v>393</v>
      </c>
    </row>
    <row r="147" spans="1:6" x14ac:dyDescent="0.3">
      <c r="A147" t="s">
        <v>357</v>
      </c>
      <c r="B147" t="s">
        <v>349</v>
      </c>
      <c r="C147" s="2">
        <v>45981</v>
      </c>
      <c r="D147" s="2">
        <v>45991</v>
      </c>
      <c r="E147" t="s">
        <v>53</v>
      </c>
      <c r="F147" t="s">
        <v>392</v>
      </c>
    </row>
    <row r="148" spans="1:6" x14ac:dyDescent="0.3">
      <c r="A148" t="s">
        <v>358</v>
      </c>
      <c r="B148" t="s">
        <v>350</v>
      </c>
      <c r="C148" s="2">
        <v>45982</v>
      </c>
      <c r="D148" s="2">
        <v>45992</v>
      </c>
      <c r="E148" t="s">
        <v>51</v>
      </c>
      <c r="F148" t="s">
        <v>392</v>
      </c>
    </row>
    <row r="149" spans="1:6" x14ac:dyDescent="0.3">
      <c r="A149" t="s">
        <v>359</v>
      </c>
      <c r="B149" t="s">
        <v>351</v>
      </c>
      <c r="C149" s="2">
        <v>45986</v>
      </c>
      <c r="D149" s="2">
        <v>45998</v>
      </c>
      <c r="E149" t="s">
        <v>53</v>
      </c>
      <c r="F149" t="s">
        <v>392</v>
      </c>
    </row>
    <row r="150" spans="1:6" x14ac:dyDescent="0.3">
      <c r="A150" t="s">
        <v>360</v>
      </c>
      <c r="B150" t="s">
        <v>372</v>
      </c>
      <c r="C150" s="2">
        <v>45988</v>
      </c>
      <c r="D150" s="2">
        <v>45996</v>
      </c>
      <c r="E150" t="s">
        <v>51</v>
      </c>
      <c r="F150" t="s">
        <v>392</v>
      </c>
    </row>
    <row r="151" spans="1:6" x14ac:dyDescent="0.3">
      <c r="A151" t="s">
        <v>361</v>
      </c>
      <c r="B151" t="s">
        <v>373</v>
      </c>
      <c r="C151" s="2">
        <v>45991</v>
      </c>
      <c r="D151" s="2">
        <v>46014</v>
      </c>
      <c r="E151" t="s">
        <v>53</v>
      </c>
      <c r="F151" t="s">
        <v>392</v>
      </c>
    </row>
    <row r="152" spans="1:6" x14ac:dyDescent="0.3">
      <c r="A152" t="s">
        <v>362</v>
      </c>
      <c r="B152" t="s">
        <v>374</v>
      </c>
      <c r="C152" s="2">
        <v>45993</v>
      </c>
      <c r="D152" s="2">
        <v>46006</v>
      </c>
      <c r="E152" t="s">
        <v>53</v>
      </c>
      <c r="F152" t="s">
        <v>392</v>
      </c>
    </row>
    <row r="153" spans="1:6" x14ac:dyDescent="0.3">
      <c r="A153" t="s">
        <v>363</v>
      </c>
      <c r="B153" t="s">
        <v>375</v>
      </c>
      <c r="C153" s="2">
        <v>45994</v>
      </c>
      <c r="D153" s="2">
        <v>46008</v>
      </c>
      <c r="E153" t="s">
        <v>49</v>
      </c>
      <c r="F153" t="s">
        <v>392</v>
      </c>
    </row>
    <row r="154" spans="1:6" x14ac:dyDescent="0.3">
      <c r="A154" t="s">
        <v>364</v>
      </c>
      <c r="B154" t="s">
        <v>376</v>
      </c>
      <c r="C154" s="2">
        <v>45995</v>
      </c>
      <c r="D154" s="2">
        <v>46021</v>
      </c>
      <c r="E154" t="s">
        <v>135</v>
      </c>
      <c r="F154" t="s">
        <v>392</v>
      </c>
    </row>
    <row r="155" spans="1:6" x14ac:dyDescent="0.3">
      <c r="A155" t="s">
        <v>365</v>
      </c>
      <c r="B155" t="s">
        <v>377</v>
      </c>
      <c r="C155" s="2">
        <v>45996</v>
      </c>
      <c r="D155" s="2">
        <v>46001</v>
      </c>
      <c r="E155" t="s">
        <v>53</v>
      </c>
      <c r="F155" t="s">
        <v>392</v>
      </c>
    </row>
    <row r="156" spans="1:6" x14ac:dyDescent="0.3">
      <c r="A156" t="s">
        <v>366</v>
      </c>
      <c r="B156" t="s">
        <v>378</v>
      </c>
      <c r="C156" s="2">
        <v>45996</v>
      </c>
      <c r="D156" s="2">
        <v>46011</v>
      </c>
      <c r="E156" t="s">
        <v>53</v>
      </c>
      <c r="F156" t="s">
        <v>392</v>
      </c>
    </row>
    <row r="157" spans="1:6" x14ac:dyDescent="0.3">
      <c r="A157" t="s">
        <v>367</v>
      </c>
      <c r="B157" t="s">
        <v>379</v>
      </c>
      <c r="C157" s="2">
        <v>45998</v>
      </c>
      <c r="D157" s="2">
        <v>46009</v>
      </c>
      <c r="E157" t="s">
        <v>51</v>
      </c>
      <c r="F157" t="s">
        <v>393</v>
      </c>
    </row>
    <row r="158" spans="1:6" x14ac:dyDescent="0.3">
      <c r="A158" t="s">
        <v>368</v>
      </c>
      <c r="B158" t="s">
        <v>380</v>
      </c>
      <c r="C158" s="2">
        <v>46000</v>
      </c>
      <c r="D158" s="2">
        <v>46010</v>
      </c>
      <c r="E158" t="s">
        <v>51</v>
      </c>
      <c r="F158" t="s">
        <v>393</v>
      </c>
    </row>
    <row r="159" spans="1:6" x14ac:dyDescent="0.3">
      <c r="A159" t="s">
        <v>369</v>
      </c>
      <c r="B159" t="s">
        <v>381</v>
      </c>
      <c r="C159" s="2">
        <v>46003</v>
      </c>
      <c r="D159" s="2">
        <v>46017</v>
      </c>
      <c r="E159" t="s">
        <v>53</v>
      </c>
      <c r="F159" t="s">
        <v>392</v>
      </c>
    </row>
    <row r="160" spans="1:6" x14ac:dyDescent="0.3">
      <c r="A160" t="s">
        <v>386</v>
      </c>
      <c r="B160" t="s">
        <v>382</v>
      </c>
      <c r="C160" s="2">
        <v>46004</v>
      </c>
      <c r="D160" s="2">
        <v>46013</v>
      </c>
      <c r="E160" t="s">
        <v>51</v>
      </c>
      <c r="F160" t="s">
        <v>393</v>
      </c>
    </row>
    <row r="161" spans="1:6" x14ac:dyDescent="0.3">
      <c r="A161" t="s">
        <v>387</v>
      </c>
      <c r="B161" t="s">
        <v>383</v>
      </c>
      <c r="C161" s="2">
        <v>46004</v>
      </c>
      <c r="D161" s="2">
        <v>46019</v>
      </c>
      <c r="E161" t="s">
        <v>51</v>
      </c>
      <c r="F161" t="s">
        <v>393</v>
      </c>
    </row>
    <row r="162" spans="1:6" x14ac:dyDescent="0.3">
      <c r="A162" t="s">
        <v>388</v>
      </c>
      <c r="B162" t="s">
        <v>384</v>
      </c>
      <c r="C162" s="2">
        <v>46011</v>
      </c>
      <c r="D162" s="2">
        <v>46015</v>
      </c>
      <c r="E162" t="s">
        <v>51</v>
      </c>
      <c r="F162" t="s">
        <v>393</v>
      </c>
    </row>
  </sheetData>
  <sortState xmlns:xlrd2="http://schemas.microsoft.com/office/spreadsheetml/2017/richdata2" ref="A2:F164">
    <sortCondition ref="C2:C164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654F-31EA-4354-8A63-FE7F8BE1C407}">
  <dimension ref="A1:J179"/>
  <sheetViews>
    <sheetView topLeftCell="A169" workbookViewId="0">
      <selection activeCell="D172" sqref="D172"/>
    </sheetView>
  </sheetViews>
  <sheetFormatPr defaultRowHeight="14.4" x14ac:dyDescent="0.3"/>
  <sheetData>
    <row r="1" spans="1:10" ht="57.6" x14ac:dyDescent="0.3">
      <c r="A1" s="8" t="s">
        <v>20</v>
      </c>
      <c r="B1" s="8" t="s">
        <v>26</v>
      </c>
      <c r="C1" s="8" t="s">
        <v>27</v>
      </c>
      <c r="D1" s="8" t="s">
        <v>28</v>
      </c>
      <c r="E1" s="6" t="s">
        <v>397</v>
      </c>
      <c r="F1" s="8" t="s">
        <v>29</v>
      </c>
      <c r="G1" s="8" t="s">
        <v>30</v>
      </c>
      <c r="H1" s="8" t="s">
        <v>394</v>
      </c>
      <c r="I1" s="8" t="s">
        <v>395</v>
      </c>
      <c r="J1" s="8" t="s">
        <v>396</v>
      </c>
    </row>
    <row r="2" spans="1:10" ht="43.2" x14ac:dyDescent="0.3">
      <c r="A2" t="s">
        <v>1</v>
      </c>
      <c r="B2" t="s">
        <v>399</v>
      </c>
      <c r="C2" s="1" t="s">
        <v>509</v>
      </c>
      <c r="D2" t="s">
        <v>447</v>
      </c>
      <c r="E2">
        <v>1</v>
      </c>
      <c r="F2">
        <v>100</v>
      </c>
      <c r="G2">
        <v>50</v>
      </c>
      <c r="H2">
        <f t="shared" ref="H2:H65" si="0">E2*F2</f>
        <v>100</v>
      </c>
      <c r="I2">
        <f t="shared" ref="I2:I65" si="1">E2*G2</f>
        <v>50</v>
      </c>
      <c r="J2">
        <f t="shared" ref="J2:J65" si="2">H2-I2</f>
        <v>50</v>
      </c>
    </row>
    <row r="3" spans="1:10" ht="57.6" x14ac:dyDescent="0.3">
      <c r="A3" t="s">
        <v>4</v>
      </c>
      <c r="B3" t="s">
        <v>400</v>
      </c>
      <c r="C3" s="1" t="s">
        <v>401</v>
      </c>
      <c r="D3" t="s">
        <v>2</v>
      </c>
      <c r="E3">
        <v>1</v>
      </c>
      <c r="F3">
        <v>1500</v>
      </c>
      <c r="G3">
        <v>1000</v>
      </c>
      <c r="H3">
        <f t="shared" si="0"/>
        <v>1500</v>
      </c>
      <c r="I3">
        <f t="shared" si="1"/>
        <v>1000</v>
      </c>
      <c r="J3">
        <f t="shared" si="2"/>
        <v>500</v>
      </c>
    </row>
    <row r="4" spans="1:10" ht="43.2" x14ac:dyDescent="0.3">
      <c r="A4" t="s">
        <v>5</v>
      </c>
      <c r="B4" t="s">
        <v>402</v>
      </c>
      <c r="C4" s="1" t="s">
        <v>403</v>
      </c>
      <c r="D4" t="s">
        <v>420</v>
      </c>
      <c r="E4">
        <v>1</v>
      </c>
      <c r="F4">
        <v>500</v>
      </c>
      <c r="G4">
        <v>350</v>
      </c>
      <c r="H4">
        <f t="shared" si="0"/>
        <v>500</v>
      </c>
      <c r="I4">
        <f t="shared" si="1"/>
        <v>350</v>
      </c>
      <c r="J4">
        <f t="shared" si="2"/>
        <v>150</v>
      </c>
    </row>
    <row r="5" spans="1:10" ht="57.6" x14ac:dyDescent="0.3">
      <c r="A5" t="s">
        <v>5</v>
      </c>
      <c r="B5" t="s">
        <v>405</v>
      </c>
      <c r="C5" s="1" t="s">
        <v>404</v>
      </c>
      <c r="D5" t="s">
        <v>732</v>
      </c>
      <c r="E5">
        <v>1</v>
      </c>
      <c r="F5">
        <v>250</v>
      </c>
      <c r="G5">
        <v>200</v>
      </c>
      <c r="H5">
        <f t="shared" si="0"/>
        <v>250</v>
      </c>
      <c r="I5">
        <f t="shared" si="1"/>
        <v>200</v>
      </c>
      <c r="J5">
        <f t="shared" si="2"/>
        <v>50</v>
      </c>
    </row>
    <row r="6" spans="1:10" ht="72" x14ac:dyDescent="0.3">
      <c r="A6" t="s">
        <v>6</v>
      </c>
      <c r="B6" t="s">
        <v>406</v>
      </c>
      <c r="C6" s="1" t="s">
        <v>3</v>
      </c>
      <c r="D6" t="s">
        <v>2</v>
      </c>
      <c r="E6">
        <v>1</v>
      </c>
      <c r="F6">
        <v>800</v>
      </c>
      <c r="G6">
        <v>700</v>
      </c>
      <c r="H6">
        <f t="shared" si="0"/>
        <v>800</v>
      </c>
      <c r="I6">
        <f t="shared" si="1"/>
        <v>700</v>
      </c>
      <c r="J6">
        <f t="shared" si="2"/>
        <v>100</v>
      </c>
    </row>
    <row r="7" spans="1:10" ht="43.2" x14ac:dyDescent="0.3">
      <c r="A7" t="s">
        <v>7</v>
      </c>
      <c r="B7" t="s">
        <v>407</v>
      </c>
      <c r="C7" s="1" t="s">
        <v>54</v>
      </c>
      <c r="D7" t="s">
        <v>420</v>
      </c>
      <c r="E7">
        <v>1</v>
      </c>
      <c r="F7">
        <v>400</v>
      </c>
      <c r="G7">
        <v>300</v>
      </c>
      <c r="H7">
        <f t="shared" si="0"/>
        <v>400</v>
      </c>
      <c r="I7">
        <f t="shared" si="1"/>
        <v>300</v>
      </c>
      <c r="J7">
        <f t="shared" si="2"/>
        <v>100</v>
      </c>
    </row>
    <row r="8" spans="1:10" ht="43.2" x14ac:dyDescent="0.3">
      <c r="A8" t="s">
        <v>8</v>
      </c>
      <c r="B8" t="s">
        <v>408</v>
      </c>
      <c r="C8" s="1" t="s">
        <v>733</v>
      </c>
      <c r="D8" t="s">
        <v>420</v>
      </c>
      <c r="E8">
        <v>1</v>
      </c>
      <c r="F8">
        <v>250</v>
      </c>
      <c r="G8">
        <v>180</v>
      </c>
      <c r="H8">
        <f t="shared" si="0"/>
        <v>250</v>
      </c>
      <c r="I8">
        <f t="shared" si="1"/>
        <v>180</v>
      </c>
      <c r="J8">
        <f t="shared" si="2"/>
        <v>70</v>
      </c>
    </row>
    <row r="9" spans="1:10" ht="72" x14ac:dyDescent="0.3">
      <c r="A9" t="s">
        <v>9</v>
      </c>
      <c r="B9" t="s">
        <v>409</v>
      </c>
      <c r="C9" s="1" t="s">
        <v>52</v>
      </c>
      <c r="D9" t="s">
        <v>418</v>
      </c>
      <c r="E9">
        <v>1</v>
      </c>
      <c r="F9">
        <v>100</v>
      </c>
      <c r="G9">
        <v>50</v>
      </c>
      <c r="H9">
        <f t="shared" si="0"/>
        <v>100</v>
      </c>
      <c r="I9">
        <f t="shared" si="1"/>
        <v>50</v>
      </c>
      <c r="J9">
        <f t="shared" si="2"/>
        <v>50</v>
      </c>
    </row>
    <row r="10" spans="1:10" ht="43.2" x14ac:dyDescent="0.3">
      <c r="A10" t="s">
        <v>10</v>
      </c>
      <c r="B10" t="s">
        <v>410</v>
      </c>
      <c r="C10" s="1" t="s">
        <v>61</v>
      </c>
      <c r="D10" t="s">
        <v>420</v>
      </c>
      <c r="E10">
        <v>1</v>
      </c>
      <c r="F10">
        <v>300</v>
      </c>
      <c r="G10">
        <v>220</v>
      </c>
      <c r="H10">
        <f t="shared" si="0"/>
        <v>300</v>
      </c>
      <c r="I10">
        <f t="shared" si="1"/>
        <v>220</v>
      </c>
      <c r="J10">
        <f t="shared" si="2"/>
        <v>80</v>
      </c>
    </row>
    <row r="11" spans="1:10" ht="57.6" x14ac:dyDescent="0.3">
      <c r="A11" t="s">
        <v>11</v>
      </c>
      <c r="B11" t="s">
        <v>411</v>
      </c>
      <c r="C11" s="1" t="s">
        <v>64</v>
      </c>
      <c r="D11" t="s">
        <v>2</v>
      </c>
      <c r="E11">
        <v>1</v>
      </c>
      <c r="F11">
        <v>600</v>
      </c>
      <c r="G11">
        <v>450</v>
      </c>
      <c r="H11">
        <f t="shared" si="0"/>
        <v>600</v>
      </c>
      <c r="I11">
        <f t="shared" si="1"/>
        <v>450</v>
      </c>
      <c r="J11">
        <f t="shared" si="2"/>
        <v>150</v>
      </c>
    </row>
    <row r="12" spans="1:10" ht="28.8" x14ac:dyDescent="0.3">
      <c r="A12" t="s">
        <v>43</v>
      </c>
      <c r="B12" t="s">
        <v>412</v>
      </c>
      <c r="C12" s="1" t="s">
        <v>416</v>
      </c>
      <c r="D12" t="s">
        <v>421</v>
      </c>
      <c r="E12">
        <v>1</v>
      </c>
      <c r="F12">
        <v>400</v>
      </c>
      <c r="G12">
        <v>320</v>
      </c>
      <c r="H12">
        <f t="shared" si="0"/>
        <v>400</v>
      </c>
      <c r="I12">
        <f t="shared" si="1"/>
        <v>320</v>
      </c>
      <c r="J12">
        <f t="shared" si="2"/>
        <v>80</v>
      </c>
    </row>
    <row r="13" spans="1:10" ht="57.6" x14ac:dyDescent="0.3">
      <c r="A13" t="s">
        <v>44</v>
      </c>
      <c r="B13" t="s">
        <v>413</v>
      </c>
      <c r="C13" s="1" t="s">
        <v>417</v>
      </c>
      <c r="D13" t="s">
        <v>418</v>
      </c>
      <c r="E13">
        <v>1</v>
      </c>
      <c r="F13">
        <v>100</v>
      </c>
      <c r="G13">
        <v>50</v>
      </c>
      <c r="H13">
        <f t="shared" si="0"/>
        <v>100</v>
      </c>
      <c r="I13">
        <f t="shared" si="1"/>
        <v>50</v>
      </c>
      <c r="J13">
        <f t="shared" si="2"/>
        <v>50</v>
      </c>
    </row>
    <row r="14" spans="1:10" ht="43.2" x14ac:dyDescent="0.3">
      <c r="A14" t="s">
        <v>45</v>
      </c>
      <c r="B14" t="s">
        <v>414</v>
      </c>
      <c r="C14" s="1" t="s">
        <v>419</v>
      </c>
      <c r="D14" t="s">
        <v>420</v>
      </c>
      <c r="E14">
        <v>1</v>
      </c>
      <c r="F14">
        <v>300</v>
      </c>
      <c r="G14">
        <v>180</v>
      </c>
      <c r="H14">
        <f t="shared" si="0"/>
        <v>300</v>
      </c>
      <c r="I14">
        <f t="shared" si="1"/>
        <v>180</v>
      </c>
      <c r="J14">
        <f t="shared" si="2"/>
        <v>120</v>
      </c>
    </row>
    <row r="15" spans="1:10" x14ac:dyDescent="0.3">
      <c r="A15" t="s">
        <v>46</v>
      </c>
      <c r="B15" t="s">
        <v>415</v>
      </c>
      <c r="C15" s="1" t="s">
        <v>421</v>
      </c>
      <c r="D15" t="s">
        <v>421</v>
      </c>
      <c r="E15">
        <v>1</v>
      </c>
      <c r="F15">
        <v>400</v>
      </c>
      <c r="G15">
        <v>300</v>
      </c>
      <c r="H15">
        <f t="shared" si="0"/>
        <v>400</v>
      </c>
      <c r="I15">
        <f t="shared" si="1"/>
        <v>300</v>
      </c>
      <c r="J15">
        <f t="shared" si="2"/>
        <v>100</v>
      </c>
    </row>
    <row r="16" spans="1:10" ht="72" x14ac:dyDescent="0.3">
      <c r="A16" t="s">
        <v>47</v>
      </c>
      <c r="B16" t="s">
        <v>422</v>
      </c>
      <c r="C16" s="1" t="s">
        <v>62</v>
      </c>
      <c r="D16" t="s">
        <v>418</v>
      </c>
      <c r="E16">
        <v>1</v>
      </c>
      <c r="F16">
        <v>80</v>
      </c>
      <c r="G16">
        <v>40</v>
      </c>
      <c r="H16">
        <f t="shared" si="0"/>
        <v>80</v>
      </c>
      <c r="I16">
        <f t="shared" si="1"/>
        <v>40</v>
      </c>
      <c r="J16">
        <f t="shared" si="2"/>
        <v>40</v>
      </c>
    </row>
    <row r="17" spans="1:10" ht="43.2" x14ac:dyDescent="0.3">
      <c r="A17" s="7" t="s">
        <v>48</v>
      </c>
      <c r="B17" t="s">
        <v>423</v>
      </c>
      <c r="C17" s="1" t="s">
        <v>656</v>
      </c>
      <c r="D17" t="s">
        <v>428</v>
      </c>
      <c r="E17">
        <v>1</v>
      </c>
      <c r="F17">
        <v>150</v>
      </c>
      <c r="G17">
        <v>80</v>
      </c>
      <c r="H17">
        <f t="shared" si="0"/>
        <v>150</v>
      </c>
      <c r="I17">
        <f t="shared" si="1"/>
        <v>80</v>
      </c>
      <c r="J17">
        <f t="shared" si="2"/>
        <v>70</v>
      </c>
    </row>
    <row r="18" spans="1:10" ht="43.2" x14ac:dyDescent="0.3">
      <c r="A18" s="7" t="s">
        <v>48</v>
      </c>
      <c r="B18" t="s">
        <v>424</v>
      </c>
      <c r="C18" s="1" t="s">
        <v>658</v>
      </c>
      <c r="D18" t="s">
        <v>428</v>
      </c>
      <c r="E18">
        <v>1</v>
      </c>
      <c r="F18">
        <v>150</v>
      </c>
      <c r="G18">
        <v>100</v>
      </c>
      <c r="H18">
        <f t="shared" si="0"/>
        <v>150</v>
      </c>
      <c r="I18">
        <f t="shared" si="1"/>
        <v>100</v>
      </c>
      <c r="J18">
        <f t="shared" si="2"/>
        <v>50</v>
      </c>
    </row>
    <row r="19" spans="1:10" ht="43.2" x14ac:dyDescent="0.3">
      <c r="A19" s="7" t="s">
        <v>48</v>
      </c>
      <c r="B19" t="s">
        <v>425</v>
      </c>
      <c r="C19" s="1" t="s">
        <v>657</v>
      </c>
      <c r="D19" t="s">
        <v>428</v>
      </c>
      <c r="E19">
        <v>1</v>
      </c>
      <c r="F19">
        <v>250</v>
      </c>
      <c r="G19">
        <v>150</v>
      </c>
      <c r="H19">
        <f t="shared" si="0"/>
        <v>250</v>
      </c>
      <c r="I19">
        <f t="shared" si="1"/>
        <v>150</v>
      </c>
      <c r="J19">
        <f t="shared" si="2"/>
        <v>100</v>
      </c>
    </row>
    <row r="20" spans="1:10" ht="43.2" x14ac:dyDescent="0.3">
      <c r="A20" t="s">
        <v>66</v>
      </c>
      <c r="B20" t="s">
        <v>426</v>
      </c>
      <c r="C20" s="1" t="s">
        <v>429</v>
      </c>
      <c r="D20" t="s">
        <v>420</v>
      </c>
      <c r="E20">
        <v>1</v>
      </c>
      <c r="F20">
        <v>300</v>
      </c>
      <c r="G20">
        <v>200</v>
      </c>
      <c r="H20">
        <f t="shared" si="0"/>
        <v>300</v>
      </c>
      <c r="I20">
        <f t="shared" si="1"/>
        <v>200</v>
      </c>
      <c r="J20">
        <f t="shared" si="2"/>
        <v>100</v>
      </c>
    </row>
    <row r="21" spans="1:10" ht="43.2" x14ac:dyDescent="0.3">
      <c r="A21" t="s">
        <v>67</v>
      </c>
      <c r="B21" t="s">
        <v>427</v>
      </c>
      <c r="C21" s="1" t="s">
        <v>65</v>
      </c>
      <c r="D21" t="s">
        <v>418</v>
      </c>
      <c r="E21">
        <v>1</v>
      </c>
      <c r="F21">
        <v>100</v>
      </c>
      <c r="G21">
        <v>50</v>
      </c>
      <c r="H21">
        <f t="shared" si="0"/>
        <v>100</v>
      </c>
      <c r="I21">
        <f t="shared" si="1"/>
        <v>50</v>
      </c>
      <c r="J21">
        <f t="shared" si="2"/>
        <v>50</v>
      </c>
    </row>
    <row r="22" spans="1:10" ht="57.6" x14ac:dyDescent="0.3">
      <c r="A22" t="s">
        <v>69</v>
      </c>
      <c r="B22" t="s">
        <v>431</v>
      </c>
      <c r="C22" s="1" t="s">
        <v>430</v>
      </c>
      <c r="D22" t="s">
        <v>447</v>
      </c>
      <c r="E22">
        <v>1</v>
      </c>
      <c r="F22">
        <v>100</v>
      </c>
      <c r="G22">
        <v>50</v>
      </c>
      <c r="H22">
        <f t="shared" si="0"/>
        <v>100</v>
      </c>
      <c r="I22">
        <f t="shared" si="1"/>
        <v>50</v>
      </c>
      <c r="J22">
        <f t="shared" si="2"/>
        <v>50</v>
      </c>
    </row>
    <row r="23" spans="1:10" ht="72" x14ac:dyDescent="0.3">
      <c r="A23" t="s">
        <v>70</v>
      </c>
      <c r="B23" t="s">
        <v>432</v>
      </c>
      <c r="C23" s="1" t="s">
        <v>440</v>
      </c>
      <c r="D23" t="s">
        <v>731</v>
      </c>
      <c r="E23">
        <v>1</v>
      </c>
      <c r="F23">
        <v>1500</v>
      </c>
      <c r="G23">
        <v>1000</v>
      </c>
      <c r="H23">
        <f t="shared" si="0"/>
        <v>1500</v>
      </c>
      <c r="I23">
        <f t="shared" si="1"/>
        <v>1000</v>
      </c>
      <c r="J23">
        <f t="shared" si="2"/>
        <v>500</v>
      </c>
    </row>
    <row r="24" spans="1:10" ht="43.2" x14ac:dyDescent="0.3">
      <c r="A24" t="s">
        <v>76</v>
      </c>
      <c r="B24" t="s">
        <v>433</v>
      </c>
      <c r="C24" s="1" t="s">
        <v>86</v>
      </c>
      <c r="D24" t="s">
        <v>420</v>
      </c>
      <c r="E24">
        <v>1</v>
      </c>
      <c r="F24">
        <v>400</v>
      </c>
      <c r="G24">
        <v>280</v>
      </c>
      <c r="H24">
        <f t="shared" si="0"/>
        <v>400</v>
      </c>
      <c r="I24">
        <f t="shared" si="1"/>
        <v>280</v>
      </c>
      <c r="J24">
        <f t="shared" si="2"/>
        <v>120</v>
      </c>
    </row>
    <row r="25" spans="1:10" ht="43.2" x14ac:dyDescent="0.3">
      <c r="A25" t="s">
        <v>77</v>
      </c>
      <c r="B25" t="s">
        <v>434</v>
      </c>
      <c r="C25" s="1" t="s">
        <v>441</v>
      </c>
      <c r="D25" t="s">
        <v>418</v>
      </c>
      <c r="E25">
        <v>1</v>
      </c>
      <c r="F25">
        <v>100</v>
      </c>
      <c r="G25">
        <v>50</v>
      </c>
      <c r="H25">
        <f t="shared" si="0"/>
        <v>100</v>
      </c>
      <c r="I25">
        <f t="shared" si="1"/>
        <v>50</v>
      </c>
      <c r="J25">
        <f t="shared" si="2"/>
        <v>50</v>
      </c>
    </row>
    <row r="26" spans="1:10" ht="43.2" x14ac:dyDescent="0.3">
      <c r="A26" s="7" t="s">
        <v>78</v>
      </c>
      <c r="B26" t="s">
        <v>435</v>
      </c>
      <c r="C26" s="1" t="s">
        <v>442</v>
      </c>
      <c r="D26" t="s">
        <v>418</v>
      </c>
      <c r="E26">
        <v>1</v>
      </c>
      <c r="F26">
        <v>100</v>
      </c>
      <c r="G26">
        <v>50</v>
      </c>
      <c r="H26">
        <f t="shared" si="0"/>
        <v>100</v>
      </c>
      <c r="I26">
        <f t="shared" si="1"/>
        <v>50</v>
      </c>
      <c r="J26">
        <f t="shared" si="2"/>
        <v>50</v>
      </c>
    </row>
    <row r="27" spans="1:10" x14ac:dyDescent="0.3">
      <c r="A27" s="7" t="s">
        <v>78</v>
      </c>
      <c r="B27" t="s">
        <v>436</v>
      </c>
      <c r="C27" t="s">
        <v>443</v>
      </c>
      <c r="D27" t="s">
        <v>418</v>
      </c>
      <c r="E27">
        <v>1</v>
      </c>
      <c r="F27">
        <v>80</v>
      </c>
      <c r="G27">
        <v>40</v>
      </c>
      <c r="H27">
        <f t="shared" si="0"/>
        <v>80</v>
      </c>
      <c r="I27">
        <f t="shared" si="1"/>
        <v>40</v>
      </c>
      <c r="J27">
        <f t="shared" si="2"/>
        <v>40</v>
      </c>
    </row>
    <row r="28" spans="1:10" ht="57.6" x14ac:dyDescent="0.3">
      <c r="A28" t="s">
        <v>79</v>
      </c>
      <c r="B28" t="s">
        <v>437</v>
      </c>
      <c r="C28" s="1" t="s">
        <v>444</v>
      </c>
      <c r="D28" t="s">
        <v>418</v>
      </c>
      <c r="E28">
        <v>1</v>
      </c>
      <c r="F28">
        <v>120</v>
      </c>
      <c r="G28">
        <v>60</v>
      </c>
      <c r="H28">
        <f t="shared" si="0"/>
        <v>120</v>
      </c>
      <c r="I28">
        <f t="shared" si="1"/>
        <v>60</v>
      </c>
      <c r="J28">
        <f t="shared" si="2"/>
        <v>60</v>
      </c>
    </row>
    <row r="29" spans="1:10" ht="57.6" x14ac:dyDescent="0.3">
      <c r="A29" s="7" t="s">
        <v>80</v>
      </c>
      <c r="B29" t="s">
        <v>438</v>
      </c>
      <c r="C29" s="1" t="s">
        <v>445</v>
      </c>
      <c r="D29" t="s">
        <v>447</v>
      </c>
      <c r="E29">
        <v>1</v>
      </c>
      <c r="F29">
        <v>250</v>
      </c>
      <c r="G29">
        <v>150</v>
      </c>
      <c r="H29">
        <f t="shared" si="0"/>
        <v>250</v>
      </c>
      <c r="I29">
        <f t="shared" si="1"/>
        <v>150</v>
      </c>
      <c r="J29">
        <f t="shared" si="2"/>
        <v>100</v>
      </c>
    </row>
    <row r="30" spans="1:10" ht="57.6" x14ac:dyDescent="0.3">
      <c r="A30" s="7" t="s">
        <v>80</v>
      </c>
      <c r="B30" t="s">
        <v>439</v>
      </c>
      <c r="C30" s="1" t="s">
        <v>446</v>
      </c>
      <c r="D30" t="s">
        <v>447</v>
      </c>
      <c r="E30">
        <v>1</v>
      </c>
      <c r="F30">
        <v>250</v>
      </c>
      <c r="G30">
        <v>150</v>
      </c>
      <c r="H30">
        <f t="shared" si="0"/>
        <v>250</v>
      </c>
      <c r="I30">
        <f t="shared" si="1"/>
        <v>150</v>
      </c>
      <c r="J30">
        <f t="shared" si="2"/>
        <v>100</v>
      </c>
    </row>
    <row r="31" spans="1:10" ht="43.2" x14ac:dyDescent="0.3">
      <c r="A31" t="s">
        <v>153</v>
      </c>
      <c r="B31" t="s">
        <v>448</v>
      </c>
      <c r="C31" s="1" t="s">
        <v>509</v>
      </c>
      <c r="D31" t="s">
        <v>447</v>
      </c>
      <c r="E31">
        <v>2</v>
      </c>
      <c r="F31">
        <v>100</v>
      </c>
      <c r="G31">
        <v>50</v>
      </c>
      <c r="H31">
        <f t="shared" si="0"/>
        <v>200</v>
      </c>
      <c r="I31">
        <f t="shared" si="1"/>
        <v>100</v>
      </c>
      <c r="J31">
        <f t="shared" si="2"/>
        <v>100</v>
      </c>
    </row>
    <row r="32" spans="1:10" ht="72" x14ac:dyDescent="0.3">
      <c r="A32" t="s">
        <v>154</v>
      </c>
      <c r="B32" t="s">
        <v>449</v>
      </c>
      <c r="C32" s="1" t="s">
        <v>510</v>
      </c>
      <c r="D32" t="s">
        <v>2</v>
      </c>
      <c r="E32">
        <v>1</v>
      </c>
      <c r="F32">
        <v>800</v>
      </c>
      <c r="G32">
        <v>600</v>
      </c>
      <c r="H32">
        <f t="shared" si="0"/>
        <v>800</v>
      </c>
      <c r="I32">
        <f t="shared" si="1"/>
        <v>600</v>
      </c>
      <c r="J32">
        <f t="shared" si="2"/>
        <v>200</v>
      </c>
    </row>
    <row r="33" spans="1:10" ht="57.6" x14ac:dyDescent="0.3">
      <c r="A33" t="s">
        <v>155</v>
      </c>
      <c r="B33" t="s">
        <v>450</v>
      </c>
      <c r="C33" s="1" t="s">
        <v>511</v>
      </c>
      <c r="D33" t="s">
        <v>2</v>
      </c>
      <c r="E33">
        <v>1</v>
      </c>
      <c r="F33">
        <v>500</v>
      </c>
      <c r="G33">
        <v>300</v>
      </c>
      <c r="H33">
        <f t="shared" si="0"/>
        <v>500</v>
      </c>
      <c r="I33">
        <f t="shared" si="1"/>
        <v>300</v>
      </c>
      <c r="J33">
        <f t="shared" si="2"/>
        <v>200</v>
      </c>
    </row>
    <row r="34" spans="1:10" ht="43.2" x14ac:dyDescent="0.3">
      <c r="A34" t="s">
        <v>156</v>
      </c>
      <c r="B34" t="s">
        <v>451</v>
      </c>
      <c r="C34" s="1" t="s">
        <v>441</v>
      </c>
      <c r="D34" t="s">
        <v>418</v>
      </c>
      <c r="E34">
        <v>2</v>
      </c>
      <c r="F34">
        <v>100</v>
      </c>
      <c r="G34">
        <v>50</v>
      </c>
      <c r="H34">
        <f t="shared" si="0"/>
        <v>200</v>
      </c>
      <c r="I34">
        <f t="shared" si="1"/>
        <v>100</v>
      </c>
      <c r="J34">
        <f t="shared" si="2"/>
        <v>100</v>
      </c>
    </row>
    <row r="35" spans="1:10" ht="28.8" x14ac:dyDescent="0.3">
      <c r="A35" t="s">
        <v>157</v>
      </c>
      <c r="B35" t="s">
        <v>452</v>
      </c>
      <c r="C35" s="1" t="s">
        <v>512</v>
      </c>
      <c r="D35" t="s">
        <v>420</v>
      </c>
      <c r="E35">
        <v>1</v>
      </c>
      <c r="F35">
        <v>250</v>
      </c>
      <c r="G35">
        <v>150</v>
      </c>
      <c r="H35">
        <f t="shared" si="0"/>
        <v>250</v>
      </c>
      <c r="I35">
        <f t="shared" si="1"/>
        <v>150</v>
      </c>
      <c r="J35">
        <f t="shared" si="2"/>
        <v>100</v>
      </c>
    </row>
    <row r="36" spans="1:10" ht="86.4" x14ac:dyDescent="0.3">
      <c r="A36" t="s">
        <v>158</v>
      </c>
      <c r="B36" t="s">
        <v>453</v>
      </c>
      <c r="C36" s="1" t="s">
        <v>513</v>
      </c>
      <c r="D36" t="s">
        <v>2</v>
      </c>
      <c r="E36">
        <v>1</v>
      </c>
      <c r="F36">
        <v>1800</v>
      </c>
      <c r="G36">
        <v>1200</v>
      </c>
      <c r="H36">
        <f t="shared" si="0"/>
        <v>1800</v>
      </c>
      <c r="I36">
        <f t="shared" si="1"/>
        <v>1200</v>
      </c>
      <c r="J36">
        <f t="shared" si="2"/>
        <v>600</v>
      </c>
    </row>
    <row r="37" spans="1:10" x14ac:dyDescent="0.3">
      <c r="A37" t="s">
        <v>159</v>
      </c>
      <c r="B37" t="s">
        <v>454</v>
      </c>
      <c r="C37" s="1" t="s">
        <v>421</v>
      </c>
      <c r="D37" t="s">
        <v>421</v>
      </c>
      <c r="E37">
        <v>1</v>
      </c>
      <c r="F37">
        <v>400</v>
      </c>
      <c r="G37">
        <v>400</v>
      </c>
      <c r="H37">
        <f t="shared" si="0"/>
        <v>400</v>
      </c>
      <c r="I37">
        <f t="shared" si="1"/>
        <v>400</v>
      </c>
      <c r="J37">
        <f t="shared" si="2"/>
        <v>0</v>
      </c>
    </row>
    <row r="38" spans="1:10" ht="72" x14ac:dyDescent="0.3">
      <c r="A38" t="s">
        <v>160</v>
      </c>
      <c r="B38" t="s">
        <v>455</v>
      </c>
      <c r="C38" s="1" t="s">
        <v>514</v>
      </c>
      <c r="D38" t="s">
        <v>2</v>
      </c>
      <c r="E38">
        <v>1</v>
      </c>
      <c r="F38">
        <v>1500</v>
      </c>
      <c r="G38">
        <v>1000</v>
      </c>
      <c r="H38">
        <f t="shared" si="0"/>
        <v>1500</v>
      </c>
      <c r="I38">
        <f t="shared" si="1"/>
        <v>1000</v>
      </c>
      <c r="J38">
        <f t="shared" si="2"/>
        <v>500</v>
      </c>
    </row>
    <row r="39" spans="1:10" ht="57.6" x14ac:dyDescent="0.3">
      <c r="A39" t="s">
        <v>161</v>
      </c>
      <c r="B39" t="s">
        <v>456</v>
      </c>
      <c r="C39" s="1" t="s">
        <v>515</v>
      </c>
      <c r="D39" t="s">
        <v>418</v>
      </c>
      <c r="E39">
        <v>1</v>
      </c>
      <c r="F39">
        <v>200</v>
      </c>
      <c r="G39">
        <v>80</v>
      </c>
      <c r="H39">
        <f t="shared" si="0"/>
        <v>200</v>
      </c>
      <c r="I39">
        <f t="shared" si="1"/>
        <v>80</v>
      </c>
      <c r="J39">
        <f t="shared" si="2"/>
        <v>120</v>
      </c>
    </row>
    <row r="40" spans="1:10" x14ac:dyDescent="0.3">
      <c r="A40" t="s">
        <v>162</v>
      </c>
      <c r="B40" t="s">
        <v>457</v>
      </c>
      <c r="C40" s="1" t="s">
        <v>421</v>
      </c>
      <c r="D40" t="s">
        <v>421</v>
      </c>
      <c r="E40">
        <v>1</v>
      </c>
      <c r="F40">
        <v>550</v>
      </c>
      <c r="G40">
        <v>450</v>
      </c>
      <c r="H40">
        <f t="shared" si="0"/>
        <v>550</v>
      </c>
      <c r="I40">
        <f t="shared" si="1"/>
        <v>450</v>
      </c>
      <c r="J40">
        <f t="shared" si="2"/>
        <v>100</v>
      </c>
    </row>
    <row r="41" spans="1:10" ht="57.6" x14ac:dyDescent="0.3">
      <c r="A41" t="s">
        <v>163</v>
      </c>
      <c r="B41" t="s">
        <v>458</v>
      </c>
      <c r="C41" s="1" t="s">
        <v>516</v>
      </c>
      <c r="D41" t="s">
        <v>2</v>
      </c>
      <c r="E41">
        <v>35</v>
      </c>
      <c r="F41">
        <v>250</v>
      </c>
      <c r="G41">
        <v>150</v>
      </c>
      <c r="H41">
        <f t="shared" si="0"/>
        <v>8750</v>
      </c>
      <c r="I41">
        <f t="shared" si="1"/>
        <v>5250</v>
      </c>
      <c r="J41">
        <f t="shared" si="2"/>
        <v>3500</v>
      </c>
    </row>
    <row r="42" spans="1:10" ht="43.2" x14ac:dyDescent="0.3">
      <c r="A42" t="s">
        <v>164</v>
      </c>
      <c r="B42" t="s">
        <v>459</v>
      </c>
      <c r="C42" s="1" t="s">
        <v>133</v>
      </c>
      <c r="D42" t="s">
        <v>447</v>
      </c>
      <c r="E42">
        <v>1</v>
      </c>
      <c r="F42">
        <v>600</v>
      </c>
      <c r="G42">
        <v>450</v>
      </c>
      <c r="H42">
        <f t="shared" si="0"/>
        <v>600</v>
      </c>
      <c r="I42">
        <f t="shared" si="1"/>
        <v>450</v>
      </c>
      <c r="J42">
        <f t="shared" si="2"/>
        <v>150</v>
      </c>
    </row>
    <row r="43" spans="1:10" ht="43.2" x14ac:dyDescent="0.3">
      <c r="A43" t="s">
        <v>165</v>
      </c>
      <c r="B43" t="s">
        <v>460</v>
      </c>
      <c r="C43" s="1" t="s">
        <v>517</v>
      </c>
      <c r="D43" t="s">
        <v>2</v>
      </c>
      <c r="E43">
        <v>1</v>
      </c>
      <c r="F43">
        <v>500</v>
      </c>
      <c r="G43">
        <v>400</v>
      </c>
      <c r="H43">
        <f t="shared" si="0"/>
        <v>500</v>
      </c>
      <c r="I43">
        <f t="shared" si="1"/>
        <v>400</v>
      </c>
      <c r="J43">
        <f t="shared" si="2"/>
        <v>100</v>
      </c>
    </row>
    <row r="44" spans="1:10" ht="72" x14ac:dyDescent="0.3">
      <c r="A44" t="s">
        <v>166</v>
      </c>
      <c r="B44" t="s">
        <v>461</v>
      </c>
      <c r="C44" s="1" t="s">
        <v>518</v>
      </c>
      <c r="D44" t="s">
        <v>2</v>
      </c>
      <c r="E44">
        <v>1</v>
      </c>
      <c r="F44">
        <v>600</v>
      </c>
      <c r="G44">
        <v>450</v>
      </c>
      <c r="H44">
        <f t="shared" si="0"/>
        <v>600</v>
      </c>
      <c r="I44">
        <f t="shared" si="1"/>
        <v>450</v>
      </c>
      <c r="J44">
        <f t="shared" si="2"/>
        <v>150</v>
      </c>
    </row>
    <row r="45" spans="1:10" ht="86.4" x14ac:dyDescent="0.3">
      <c r="A45" t="s">
        <v>167</v>
      </c>
      <c r="B45" t="s">
        <v>462</v>
      </c>
      <c r="C45" s="1" t="s">
        <v>519</v>
      </c>
      <c r="D45" t="s">
        <v>2</v>
      </c>
      <c r="E45">
        <v>1</v>
      </c>
      <c r="F45">
        <v>1000</v>
      </c>
      <c r="G45">
        <v>800</v>
      </c>
      <c r="H45">
        <f t="shared" si="0"/>
        <v>1000</v>
      </c>
      <c r="I45">
        <f t="shared" si="1"/>
        <v>800</v>
      </c>
      <c r="J45">
        <f t="shared" si="2"/>
        <v>200</v>
      </c>
    </row>
    <row r="46" spans="1:10" ht="43.2" x14ac:dyDescent="0.3">
      <c r="A46" t="s">
        <v>168</v>
      </c>
      <c r="B46" t="s">
        <v>463</v>
      </c>
      <c r="C46" s="1" t="s">
        <v>261</v>
      </c>
      <c r="D46" t="s">
        <v>420</v>
      </c>
      <c r="E46">
        <v>2</v>
      </c>
      <c r="F46">
        <v>300</v>
      </c>
      <c r="G46">
        <v>220</v>
      </c>
      <c r="H46">
        <f t="shared" si="0"/>
        <v>600</v>
      </c>
      <c r="I46">
        <f t="shared" si="1"/>
        <v>440</v>
      </c>
      <c r="J46">
        <f t="shared" si="2"/>
        <v>160</v>
      </c>
    </row>
    <row r="47" spans="1:10" ht="28.8" x14ac:dyDescent="0.3">
      <c r="A47" t="s">
        <v>169</v>
      </c>
      <c r="B47" t="s">
        <v>464</v>
      </c>
      <c r="C47" s="1" t="s">
        <v>520</v>
      </c>
      <c r="D47" t="s">
        <v>421</v>
      </c>
      <c r="E47">
        <v>1</v>
      </c>
      <c r="F47">
        <v>450</v>
      </c>
      <c r="G47">
        <v>350</v>
      </c>
      <c r="H47">
        <f t="shared" si="0"/>
        <v>450</v>
      </c>
      <c r="I47">
        <f t="shared" si="1"/>
        <v>350</v>
      </c>
      <c r="J47">
        <f t="shared" si="2"/>
        <v>100</v>
      </c>
    </row>
    <row r="48" spans="1:10" ht="28.8" x14ac:dyDescent="0.3">
      <c r="A48" t="s">
        <v>170</v>
      </c>
      <c r="B48" t="s">
        <v>465</v>
      </c>
      <c r="C48" s="1" t="s">
        <v>520</v>
      </c>
      <c r="D48" t="s">
        <v>421</v>
      </c>
      <c r="E48">
        <v>1</v>
      </c>
      <c r="F48">
        <v>800</v>
      </c>
      <c r="G48">
        <v>680</v>
      </c>
      <c r="H48">
        <f t="shared" si="0"/>
        <v>800</v>
      </c>
      <c r="I48">
        <f t="shared" si="1"/>
        <v>680</v>
      </c>
      <c r="J48">
        <f t="shared" si="2"/>
        <v>120</v>
      </c>
    </row>
    <row r="49" spans="1:10" ht="72" x14ac:dyDescent="0.3">
      <c r="A49" t="s">
        <v>171</v>
      </c>
      <c r="B49" t="s">
        <v>466</v>
      </c>
      <c r="C49" s="1" t="s">
        <v>137</v>
      </c>
      <c r="D49" t="s">
        <v>2</v>
      </c>
      <c r="E49">
        <v>1</v>
      </c>
      <c r="F49">
        <v>1000</v>
      </c>
      <c r="G49">
        <v>800</v>
      </c>
      <c r="H49">
        <f t="shared" si="0"/>
        <v>1000</v>
      </c>
      <c r="I49">
        <f t="shared" si="1"/>
        <v>800</v>
      </c>
      <c r="J49">
        <f t="shared" si="2"/>
        <v>200</v>
      </c>
    </row>
    <row r="50" spans="1:10" ht="43.2" x14ac:dyDescent="0.3">
      <c r="A50" t="s">
        <v>172</v>
      </c>
      <c r="B50" t="s">
        <v>467</v>
      </c>
      <c r="C50" s="1" t="s">
        <v>138</v>
      </c>
      <c r="D50" t="s">
        <v>420</v>
      </c>
      <c r="E50">
        <v>1</v>
      </c>
      <c r="F50">
        <v>400</v>
      </c>
      <c r="G50">
        <v>300</v>
      </c>
      <c r="H50">
        <f t="shared" si="0"/>
        <v>400</v>
      </c>
      <c r="I50">
        <f t="shared" si="1"/>
        <v>300</v>
      </c>
      <c r="J50">
        <f t="shared" si="2"/>
        <v>100</v>
      </c>
    </row>
    <row r="51" spans="1:10" x14ac:dyDescent="0.3">
      <c r="A51" t="s">
        <v>173</v>
      </c>
      <c r="B51" t="s">
        <v>468</v>
      </c>
      <c r="C51" s="1" t="s">
        <v>421</v>
      </c>
      <c r="D51" t="s">
        <v>421</v>
      </c>
      <c r="E51">
        <v>1</v>
      </c>
      <c r="F51">
        <v>600</v>
      </c>
      <c r="G51">
        <v>500</v>
      </c>
      <c r="H51">
        <f t="shared" si="0"/>
        <v>600</v>
      </c>
      <c r="I51">
        <f t="shared" si="1"/>
        <v>500</v>
      </c>
      <c r="J51">
        <f t="shared" si="2"/>
        <v>100</v>
      </c>
    </row>
    <row r="52" spans="1:10" ht="72" x14ac:dyDescent="0.3">
      <c r="A52" t="s">
        <v>174</v>
      </c>
      <c r="B52" t="s">
        <v>469</v>
      </c>
      <c r="C52" s="12" t="s">
        <v>139</v>
      </c>
      <c r="D52" s="7" t="s">
        <v>734</v>
      </c>
      <c r="E52">
        <v>1</v>
      </c>
      <c r="F52">
        <v>350</v>
      </c>
      <c r="G52">
        <v>300</v>
      </c>
      <c r="H52">
        <f t="shared" si="0"/>
        <v>350</v>
      </c>
      <c r="I52">
        <f t="shared" si="1"/>
        <v>300</v>
      </c>
      <c r="J52">
        <f t="shared" si="2"/>
        <v>50</v>
      </c>
    </row>
    <row r="53" spans="1:10" ht="57.6" x14ac:dyDescent="0.3">
      <c r="A53" t="s">
        <v>175</v>
      </c>
      <c r="B53" t="s">
        <v>470</v>
      </c>
      <c r="C53" s="1" t="s">
        <v>521</v>
      </c>
      <c r="D53" t="s">
        <v>2</v>
      </c>
      <c r="E53">
        <v>2</v>
      </c>
      <c r="F53">
        <v>400</v>
      </c>
      <c r="G53">
        <v>350</v>
      </c>
      <c r="H53">
        <f t="shared" si="0"/>
        <v>800</v>
      </c>
      <c r="I53">
        <f t="shared" si="1"/>
        <v>700</v>
      </c>
      <c r="J53">
        <f t="shared" si="2"/>
        <v>100</v>
      </c>
    </row>
    <row r="54" spans="1:10" ht="43.2" x14ac:dyDescent="0.3">
      <c r="A54" s="7" t="s">
        <v>176</v>
      </c>
      <c r="B54" t="s">
        <v>471</v>
      </c>
      <c r="C54" s="1" t="s">
        <v>522</v>
      </c>
      <c r="D54" t="s">
        <v>420</v>
      </c>
      <c r="E54">
        <v>1</v>
      </c>
      <c r="F54">
        <v>400</v>
      </c>
      <c r="G54">
        <v>300</v>
      </c>
      <c r="H54">
        <f t="shared" si="0"/>
        <v>400</v>
      </c>
      <c r="I54">
        <f t="shared" si="1"/>
        <v>300</v>
      </c>
      <c r="J54">
        <f t="shared" si="2"/>
        <v>100</v>
      </c>
    </row>
    <row r="55" spans="1:10" ht="43.2" x14ac:dyDescent="0.3">
      <c r="A55" s="7" t="s">
        <v>176</v>
      </c>
      <c r="B55" t="s">
        <v>472</v>
      </c>
      <c r="C55" s="1" t="s">
        <v>523</v>
      </c>
      <c r="D55" t="s">
        <v>420</v>
      </c>
      <c r="E55">
        <v>1</v>
      </c>
      <c r="F55">
        <v>400</v>
      </c>
      <c r="G55">
        <v>300</v>
      </c>
      <c r="H55">
        <f t="shared" si="0"/>
        <v>400</v>
      </c>
      <c r="I55">
        <f t="shared" si="1"/>
        <v>300</v>
      </c>
      <c r="J55">
        <f t="shared" si="2"/>
        <v>100</v>
      </c>
    </row>
    <row r="56" spans="1:10" ht="72" x14ac:dyDescent="0.3">
      <c r="A56" t="s">
        <v>177</v>
      </c>
      <c r="B56" t="s">
        <v>473</v>
      </c>
      <c r="C56" s="12" t="s">
        <v>139</v>
      </c>
      <c r="D56" s="7" t="s">
        <v>734</v>
      </c>
      <c r="E56">
        <v>1</v>
      </c>
      <c r="F56">
        <v>350</v>
      </c>
      <c r="G56">
        <v>300</v>
      </c>
      <c r="H56">
        <f t="shared" si="0"/>
        <v>350</v>
      </c>
      <c r="I56">
        <f t="shared" si="1"/>
        <v>300</v>
      </c>
      <c r="J56">
        <f t="shared" si="2"/>
        <v>50</v>
      </c>
    </row>
    <row r="57" spans="1:10" ht="86.4" x14ac:dyDescent="0.3">
      <c r="A57" t="s">
        <v>178</v>
      </c>
      <c r="B57" t="s">
        <v>474</v>
      </c>
      <c r="C57" s="1" t="s">
        <v>140</v>
      </c>
      <c r="D57" t="s">
        <v>2</v>
      </c>
      <c r="E57">
        <v>1</v>
      </c>
      <c r="F57">
        <v>850</v>
      </c>
      <c r="G57">
        <v>700</v>
      </c>
      <c r="H57">
        <f t="shared" si="0"/>
        <v>850</v>
      </c>
      <c r="I57">
        <f t="shared" si="1"/>
        <v>700</v>
      </c>
      <c r="J57">
        <f t="shared" si="2"/>
        <v>150</v>
      </c>
    </row>
    <row r="58" spans="1:10" ht="57.6" x14ac:dyDescent="0.3">
      <c r="A58" t="s">
        <v>179</v>
      </c>
      <c r="B58" t="s">
        <v>475</v>
      </c>
      <c r="C58" s="1" t="s">
        <v>524</v>
      </c>
      <c r="D58" t="s">
        <v>447</v>
      </c>
      <c r="E58">
        <v>1</v>
      </c>
      <c r="F58">
        <v>250</v>
      </c>
      <c r="G58">
        <v>150</v>
      </c>
      <c r="H58">
        <f t="shared" si="0"/>
        <v>250</v>
      </c>
      <c r="I58">
        <f t="shared" si="1"/>
        <v>150</v>
      </c>
      <c r="J58">
        <f t="shared" si="2"/>
        <v>100</v>
      </c>
    </row>
    <row r="59" spans="1:10" ht="43.2" x14ac:dyDescent="0.3">
      <c r="A59" t="s">
        <v>180</v>
      </c>
      <c r="B59" t="s">
        <v>476</v>
      </c>
      <c r="C59" s="1" t="s">
        <v>142</v>
      </c>
      <c r="D59" t="s">
        <v>420</v>
      </c>
      <c r="E59">
        <v>1</v>
      </c>
      <c r="F59">
        <v>600</v>
      </c>
      <c r="G59">
        <v>400</v>
      </c>
      <c r="H59">
        <f t="shared" si="0"/>
        <v>600</v>
      </c>
      <c r="I59">
        <f t="shared" si="1"/>
        <v>400</v>
      </c>
      <c r="J59">
        <f t="shared" si="2"/>
        <v>200</v>
      </c>
    </row>
    <row r="60" spans="1:10" ht="28.8" x14ac:dyDescent="0.3">
      <c r="A60" t="s">
        <v>181</v>
      </c>
      <c r="B60" t="s">
        <v>477</v>
      </c>
      <c r="C60" s="1" t="s">
        <v>525</v>
      </c>
      <c r="D60" t="s">
        <v>420</v>
      </c>
      <c r="E60">
        <v>5</v>
      </c>
      <c r="F60">
        <v>80</v>
      </c>
      <c r="G60">
        <v>40</v>
      </c>
      <c r="H60">
        <f t="shared" si="0"/>
        <v>400</v>
      </c>
      <c r="I60">
        <f t="shared" si="1"/>
        <v>200</v>
      </c>
      <c r="J60">
        <f t="shared" si="2"/>
        <v>200</v>
      </c>
    </row>
    <row r="61" spans="1:10" ht="28.8" x14ac:dyDescent="0.3">
      <c r="A61" t="s">
        <v>182</v>
      </c>
      <c r="B61" t="s">
        <v>478</v>
      </c>
      <c r="C61" s="1" t="s">
        <v>525</v>
      </c>
      <c r="D61" t="s">
        <v>420</v>
      </c>
      <c r="E61">
        <v>10</v>
      </c>
      <c r="F61">
        <v>80</v>
      </c>
      <c r="G61">
        <v>40</v>
      </c>
      <c r="H61">
        <f t="shared" si="0"/>
        <v>800</v>
      </c>
      <c r="I61">
        <f t="shared" si="1"/>
        <v>400</v>
      </c>
      <c r="J61">
        <f t="shared" si="2"/>
        <v>400</v>
      </c>
    </row>
    <row r="62" spans="1:10" ht="28.8" x14ac:dyDescent="0.3">
      <c r="A62" t="s">
        <v>183</v>
      </c>
      <c r="B62" t="s">
        <v>479</v>
      </c>
      <c r="C62" s="1" t="s">
        <v>526</v>
      </c>
      <c r="D62" t="s">
        <v>421</v>
      </c>
      <c r="E62">
        <v>1</v>
      </c>
      <c r="F62">
        <v>550</v>
      </c>
      <c r="G62">
        <v>450</v>
      </c>
      <c r="H62">
        <f t="shared" si="0"/>
        <v>550</v>
      </c>
      <c r="I62">
        <f t="shared" si="1"/>
        <v>450</v>
      </c>
      <c r="J62">
        <f t="shared" si="2"/>
        <v>100</v>
      </c>
    </row>
    <row r="63" spans="1:10" ht="28.8" x14ac:dyDescent="0.3">
      <c r="A63" t="s">
        <v>184</v>
      </c>
      <c r="B63" t="s">
        <v>480</v>
      </c>
      <c r="C63" s="1" t="s">
        <v>527</v>
      </c>
      <c r="D63" t="s">
        <v>420</v>
      </c>
      <c r="E63">
        <v>1</v>
      </c>
      <c r="F63">
        <v>500</v>
      </c>
      <c r="G63">
        <v>400</v>
      </c>
      <c r="H63">
        <f t="shared" si="0"/>
        <v>500</v>
      </c>
      <c r="I63">
        <f t="shared" si="1"/>
        <v>400</v>
      </c>
      <c r="J63">
        <f t="shared" si="2"/>
        <v>100</v>
      </c>
    </row>
    <row r="64" spans="1:10" ht="57.6" x14ac:dyDescent="0.3">
      <c r="A64" t="s">
        <v>185</v>
      </c>
      <c r="B64" t="s">
        <v>481</v>
      </c>
      <c r="C64" s="12" t="s">
        <v>143</v>
      </c>
      <c r="D64" s="7" t="s">
        <v>734</v>
      </c>
      <c r="E64">
        <v>1</v>
      </c>
      <c r="F64">
        <v>150</v>
      </c>
      <c r="G64">
        <v>70</v>
      </c>
      <c r="H64">
        <f t="shared" si="0"/>
        <v>150</v>
      </c>
      <c r="I64">
        <f t="shared" si="1"/>
        <v>70</v>
      </c>
      <c r="J64">
        <f t="shared" si="2"/>
        <v>80</v>
      </c>
    </row>
    <row r="65" spans="1:10" ht="28.8" x14ac:dyDescent="0.3">
      <c r="A65" t="s">
        <v>186</v>
      </c>
      <c r="B65" t="s">
        <v>482</v>
      </c>
      <c r="C65" s="1" t="s">
        <v>146</v>
      </c>
      <c r="D65" t="s">
        <v>420</v>
      </c>
      <c r="E65">
        <v>1</v>
      </c>
      <c r="F65">
        <v>300</v>
      </c>
      <c r="G65">
        <v>200</v>
      </c>
      <c r="H65">
        <f t="shared" si="0"/>
        <v>300</v>
      </c>
      <c r="I65">
        <f t="shared" si="1"/>
        <v>200</v>
      </c>
      <c r="J65">
        <f t="shared" si="2"/>
        <v>100</v>
      </c>
    </row>
    <row r="66" spans="1:10" ht="72" x14ac:dyDescent="0.3">
      <c r="A66" t="s">
        <v>187</v>
      </c>
      <c r="B66" t="s">
        <v>483</v>
      </c>
      <c r="C66" s="1" t="s">
        <v>52</v>
      </c>
      <c r="D66" t="s">
        <v>418</v>
      </c>
      <c r="E66">
        <v>1</v>
      </c>
      <c r="F66">
        <v>100</v>
      </c>
      <c r="G66">
        <v>50</v>
      </c>
      <c r="H66">
        <f t="shared" ref="H66:H129" si="3">E66*F66</f>
        <v>100</v>
      </c>
      <c r="I66">
        <f t="shared" ref="I66:I129" si="4">E66*G66</f>
        <v>50</v>
      </c>
      <c r="J66">
        <f t="shared" ref="J66:J129" si="5">H66-I66</f>
        <v>50</v>
      </c>
    </row>
    <row r="67" spans="1:10" ht="57.6" x14ac:dyDescent="0.3">
      <c r="A67" t="s">
        <v>188</v>
      </c>
      <c r="B67" t="s">
        <v>484</v>
      </c>
      <c r="C67" s="1" t="s">
        <v>144</v>
      </c>
      <c r="D67" t="s">
        <v>2</v>
      </c>
      <c r="E67">
        <v>1</v>
      </c>
      <c r="F67">
        <v>800</v>
      </c>
      <c r="G67">
        <v>600</v>
      </c>
      <c r="H67">
        <f t="shared" si="3"/>
        <v>800</v>
      </c>
      <c r="I67">
        <f t="shared" si="4"/>
        <v>600</v>
      </c>
      <c r="J67">
        <f t="shared" si="5"/>
        <v>200</v>
      </c>
    </row>
    <row r="68" spans="1:10" ht="72" x14ac:dyDescent="0.3">
      <c r="A68" t="s">
        <v>189</v>
      </c>
      <c r="B68" t="s">
        <v>485</v>
      </c>
      <c r="C68" s="1" t="s">
        <v>528</v>
      </c>
      <c r="D68" t="s">
        <v>447</v>
      </c>
      <c r="E68">
        <v>1</v>
      </c>
      <c r="F68">
        <v>1200</v>
      </c>
      <c r="G68">
        <v>950</v>
      </c>
      <c r="H68">
        <f t="shared" si="3"/>
        <v>1200</v>
      </c>
      <c r="I68">
        <f t="shared" si="4"/>
        <v>950</v>
      </c>
      <c r="J68">
        <f t="shared" si="5"/>
        <v>250</v>
      </c>
    </row>
    <row r="69" spans="1:10" x14ac:dyDescent="0.3">
      <c r="A69" t="s">
        <v>190</v>
      </c>
      <c r="B69" t="s">
        <v>486</v>
      </c>
      <c r="C69" s="1" t="s">
        <v>421</v>
      </c>
      <c r="D69" t="s">
        <v>421</v>
      </c>
      <c r="E69">
        <v>1</v>
      </c>
      <c r="F69">
        <v>700</v>
      </c>
      <c r="G69">
        <v>580</v>
      </c>
      <c r="H69">
        <f t="shared" si="3"/>
        <v>700</v>
      </c>
      <c r="I69">
        <f t="shared" si="4"/>
        <v>580</v>
      </c>
      <c r="J69">
        <f t="shared" si="5"/>
        <v>120</v>
      </c>
    </row>
    <row r="70" spans="1:10" ht="57.6" x14ac:dyDescent="0.3">
      <c r="A70" t="s">
        <v>191</v>
      </c>
      <c r="B70" t="s">
        <v>487</v>
      </c>
      <c r="C70" s="1" t="s">
        <v>529</v>
      </c>
      <c r="D70" t="s">
        <v>2</v>
      </c>
      <c r="E70">
        <v>1</v>
      </c>
      <c r="F70">
        <v>600</v>
      </c>
      <c r="G70">
        <v>450</v>
      </c>
      <c r="H70">
        <f t="shared" si="3"/>
        <v>600</v>
      </c>
      <c r="I70">
        <f t="shared" si="4"/>
        <v>450</v>
      </c>
      <c r="J70">
        <f t="shared" si="5"/>
        <v>150</v>
      </c>
    </row>
    <row r="71" spans="1:10" x14ac:dyDescent="0.3">
      <c r="A71" t="s">
        <v>192</v>
      </c>
      <c r="B71" t="s">
        <v>488</v>
      </c>
      <c r="C71" s="1" t="s">
        <v>421</v>
      </c>
      <c r="D71" t="s">
        <v>421</v>
      </c>
      <c r="E71">
        <v>1</v>
      </c>
      <c r="F71">
        <v>520</v>
      </c>
      <c r="G71">
        <v>420</v>
      </c>
      <c r="H71">
        <f t="shared" si="3"/>
        <v>520</v>
      </c>
      <c r="I71">
        <f t="shared" si="4"/>
        <v>420</v>
      </c>
      <c r="J71">
        <f t="shared" si="5"/>
        <v>100</v>
      </c>
    </row>
    <row r="72" spans="1:10" ht="28.8" x14ac:dyDescent="0.3">
      <c r="A72" t="s">
        <v>193</v>
      </c>
      <c r="B72" t="s">
        <v>489</v>
      </c>
      <c r="C72" s="1" t="s">
        <v>530</v>
      </c>
      <c r="D72" t="s">
        <v>420</v>
      </c>
      <c r="E72">
        <v>1</v>
      </c>
      <c r="F72">
        <v>400</v>
      </c>
      <c r="G72">
        <v>300</v>
      </c>
      <c r="H72">
        <f t="shared" si="3"/>
        <v>400</v>
      </c>
      <c r="I72">
        <f t="shared" si="4"/>
        <v>300</v>
      </c>
      <c r="J72">
        <f t="shared" si="5"/>
        <v>100</v>
      </c>
    </row>
    <row r="73" spans="1:10" ht="43.2" x14ac:dyDescent="0.3">
      <c r="A73" t="s">
        <v>194</v>
      </c>
      <c r="B73" t="s">
        <v>490</v>
      </c>
      <c r="C73" s="12" t="s">
        <v>147</v>
      </c>
      <c r="D73" s="7" t="s">
        <v>732</v>
      </c>
      <c r="E73">
        <v>1</v>
      </c>
      <c r="F73">
        <v>400</v>
      </c>
      <c r="G73">
        <v>280</v>
      </c>
      <c r="H73">
        <f t="shared" si="3"/>
        <v>400</v>
      </c>
      <c r="I73">
        <f t="shared" si="4"/>
        <v>280</v>
      </c>
      <c r="J73">
        <f t="shared" si="5"/>
        <v>120</v>
      </c>
    </row>
    <row r="74" spans="1:10" ht="43.2" x14ac:dyDescent="0.3">
      <c r="A74" t="s">
        <v>195</v>
      </c>
      <c r="B74" t="s">
        <v>491</v>
      </c>
      <c r="C74" s="1" t="s">
        <v>148</v>
      </c>
      <c r="D74" t="s">
        <v>418</v>
      </c>
      <c r="E74">
        <v>1</v>
      </c>
      <c r="F74">
        <v>150</v>
      </c>
      <c r="G74">
        <v>100</v>
      </c>
      <c r="H74">
        <f t="shared" si="3"/>
        <v>150</v>
      </c>
      <c r="I74">
        <f t="shared" si="4"/>
        <v>100</v>
      </c>
      <c r="J74">
        <f t="shared" si="5"/>
        <v>50</v>
      </c>
    </row>
    <row r="75" spans="1:10" ht="43.2" x14ac:dyDescent="0.3">
      <c r="A75" t="s">
        <v>196</v>
      </c>
      <c r="B75" t="s">
        <v>492</v>
      </c>
      <c r="C75" s="1" t="s">
        <v>531</v>
      </c>
      <c r="D75" t="s">
        <v>420</v>
      </c>
      <c r="E75">
        <v>2</v>
      </c>
      <c r="F75">
        <v>400</v>
      </c>
      <c r="G75">
        <v>300</v>
      </c>
      <c r="H75">
        <f t="shared" si="3"/>
        <v>800</v>
      </c>
      <c r="I75">
        <f t="shared" si="4"/>
        <v>600</v>
      </c>
      <c r="J75">
        <f t="shared" si="5"/>
        <v>200</v>
      </c>
    </row>
    <row r="76" spans="1:10" ht="28.8" x14ac:dyDescent="0.3">
      <c r="A76" t="s">
        <v>197</v>
      </c>
      <c r="B76" t="s">
        <v>493</v>
      </c>
      <c r="C76" s="1" t="s">
        <v>532</v>
      </c>
      <c r="D76" t="s">
        <v>418</v>
      </c>
      <c r="E76">
        <v>3</v>
      </c>
      <c r="F76">
        <v>80</v>
      </c>
      <c r="G76">
        <v>40</v>
      </c>
      <c r="H76">
        <f t="shared" si="3"/>
        <v>240</v>
      </c>
      <c r="I76">
        <f t="shared" si="4"/>
        <v>120</v>
      </c>
      <c r="J76">
        <f t="shared" si="5"/>
        <v>120</v>
      </c>
    </row>
    <row r="77" spans="1:10" x14ac:dyDescent="0.3">
      <c r="A77" t="s">
        <v>198</v>
      </c>
      <c r="B77" t="s">
        <v>494</v>
      </c>
      <c r="C77" s="1" t="s">
        <v>421</v>
      </c>
      <c r="D77" t="s">
        <v>421</v>
      </c>
      <c r="E77">
        <v>1</v>
      </c>
      <c r="F77">
        <v>550</v>
      </c>
      <c r="G77">
        <v>420</v>
      </c>
      <c r="H77">
        <f t="shared" si="3"/>
        <v>550</v>
      </c>
      <c r="I77">
        <f t="shared" si="4"/>
        <v>420</v>
      </c>
      <c r="J77">
        <f t="shared" si="5"/>
        <v>130</v>
      </c>
    </row>
    <row r="78" spans="1:10" ht="28.8" x14ac:dyDescent="0.3">
      <c r="A78" t="s">
        <v>199</v>
      </c>
      <c r="B78" t="s">
        <v>495</v>
      </c>
      <c r="C78" s="1" t="s">
        <v>526</v>
      </c>
      <c r="D78" t="s">
        <v>421</v>
      </c>
      <c r="E78">
        <v>1</v>
      </c>
      <c r="F78">
        <v>540</v>
      </c>
      <c r="G78">
        <v>440</v>
      </c>
      <c r="H78">
        <f t="shared" si="3"/>
        <v>540</v>
      </c>
      <c r="I78">
        <f t="shared" si="4"/>
        <v>440</v>
      </c>
      <c r="J78">
        <f t="shared" si="5"/>
        <v>100</v>
      </c>
    </row>
    <row r="79" spans="1:10" ht="43.2" x14ac:dyDescent="0.3">
      <c r="A79" t="s">
        <v>200</v>
      </c>
      <c r="B79" t="s">
        <v>496</v>
      </c>
      <c r="C79" s="1" t="s">
        <v>149</v>
      </c>
      <c r="D79" t="s">
        <v>420</v>
      </c>
      <c r="E79">
        <v>1</v>
      </c>
      <c r="F79">
        <v>400</v>
      </c>
      <c r="G79">
        <v>300</v>
      </c>
      <c r="H79">
        <f t="shared" si="3"/>
        <v>400</v>
      </c>
      <c r="I79">
        <f t="shared" si="4"/>
        <v>300</v>
      </c>
      <c r="J79">
        <f t="shared" si="5"/>
        <v>100</v>
      </c>
    </row>
    <row r="80" spans="1:10" ht="72" x14ac:dyDescent="0.3">
      <c r="A80" t="s">
        <v>201</v>
      </c>
      <c r="B80" t="s">
        <v>497</v>
      </c>
      <c r="C80" s="1" t="s">
        <v>533</v>
      </c>
      <c r="D80" t="s">
        <v>2</v>
      </c>
      <c r="E80">
        <v>1</v>
      </c>
      <c r="F80">
        <v>800</v>
      </c>
      <c r="G80">
        <v>700</v>
      </c>
      <c r="H80">
        <f t="shared" si="3"/>
        <v>800</v>
      </c>
      <c r="I80">
        <f t="shared" si="4"/>
        <v>700</v>
      </c>
      <c r="J80">
        <f t="shared" si="5"/>
        <v>100</v>
      </c>
    </row>
    <row r="81" spans="1:10" ht="43.2" x14ac:dyDescent="0.3">
      <c r="A81" s="7" t="s">
        <v>202</v>
      </c>
      <c r="B81" t="s">
        <v>498</v>
      </c>
      <c r="C81" s="1" t="s">
        <v>534</v>
      </c>
      <c r="D81" t="s">
        <v>420</v>
      </c>
      <c r="E81">
        <v>1</v>
      </c>
      <c r="F81">
        <v>400</v>
      </c>
      <c r="G81">
        <v>300</v>
      </c>
      <c r="H81">
        <f t="shared" si="3"/>
        <v>400</v>
      </c>
      <c r="I81">
        <f t="shared" si="4"/>
        <v>300</v>
      </c>
      <c r="J81">
        <f t="shared" si="5"/>
        <v>100</v>
      </c>
    </row>
    <row r="82" spans="1:10" ht="43.2" x14ac:dyDescent="0.3">
      <c r="A82" s="7" t="s">
        <v>202</v>
      </c>
      <c r="B82" t="s">
        <v>499</v>
      </c>
      <c r="C82" s="1" t="s">
        <v>523</v>
      </c>
      <c r="D82" t="s">
        <v>420</v>
      </c>
      <c r="E82">
        <v>1</v>
      </c>
      <c r="F82">
        <v>400</v>
      </c>
      <c r="G82">
        <v>300</v>
      </c>
      <c r="H82">
        <f t="shared" si="3"/>
        <v>400</v>
      </c>
      <c r="I82">
        <f t="shared" si="4"/>
        <v>300</v>
      </c>
      <c r="J82">
        <f t="shared" si="5"/>
        <v>100</v>
      </c>
    </row>
    <row r="83" spans="1:10" ht="43.2" x14ac:dyDescent="0.3">
      <c r="A83" s="7" t="s">
        <v>203</v>
      </c>
      <c r="B83" t="s">
        <v>500</v>
      </c>
      <c r="C83" s="1" t="s">
        <v>535</v>
      </c>
      <c r="D83" t="s">
        <v>420</v>
      </c>
      <c r="E83">
        <v>5</v>
      </c>
      <c r="F83">
        <v>250</v>
      </c>
      <c r="G83">
        <v>150</v>
      </c>
      <c r="H83">
        <f t="shared" si="3"/>
        <v>1250</v>
      </c>
      <c r="I83">
        <f t="shared" si="4"/>
        <v>750</v>
      </c>
      <c r="J83">
        <f t="shared" si="5"/>
        <v>500</v>
      </c>
    </row>
    <row r="84" spans="1:10" ht="28.8" x14ac:dyDescent="0.3">
      <c r="A84" s="7" t="s">
        <v>204</v>
      </c>
      <c r="B84" t="s">
        <v>501</v>
      </c>
      <c r="C84" s="1" t="s">
        <v>526</v>
      </c>
      <c r="D84" t="s">
        <v>421</v>
      </c>
      <c r="E84">
        <v>1</v>
      </c>
      <c r="F84">
        <v>320</v>
      </c>
      <c r="G84">
        <v>200</v>
      </c>
      <c r="H84">
        <f t="shared" si="3"/>
        <v>320</v>
      </c>
      <c r="I84">
        <f t="shared" si="4"/>
        <v>200</v>
      </c>
      <c r="J84">
        <f t="shared" si="5"/>
        <v>120</v>
      </c>
    </row>
    <row r="85" spans="1:10" ht="43.2" x14ac:dyDescent="0.3">
      <c r="A85" s="7" t="s">
        <v>205</v>
      </c>
      <c r="B85" t="s">
        <v>502</v>
      </c>
      <c r="C85" s="1" t="s">
        <v>206</v>
      </c>
      <c r="D85" t="s">
        <v>420</v>
      </c>
      <c r="E85">
        <v>1</v>
      </c>
      <c r="F85">
        <v>300</v>
      </c>
      <c r="G85">
        <v>180</v>
      </c>
      <c r="H85">
        <f t="shared" si="3"/>
        <v>300</v>
      </c>
      <c r="I85">
        <f t="shared" si="4"/>
        <v>180</v>
      </c>
      <c r="J85">
        <f t="shared" si="5"/>
        <v>120</v>
      </c>
    </row>
    <row r="86" spans="1:10" ht="43.2" x14ac:dyDescent="0.3">
      <c r="A86" s="7" t="s">
        <v>215</v>
      </c>
      <c r="B86" t="s">
        <v>503</v>
      </c>
      <c r="C86" s="1" t="s">
        <v>536</v>
      </c>
      <c r="D86" t="s">
        <v>420</v>
      </c>
      <c r="E86">
        <v>5</v>
      </c>
      <c r="F86">
        <v>40</v>
      </c>
      <c r="G86">
        <v>25</v>
      </c>
      <c r="H86">
        <f t="shared" si="3"/>
        <v>200</v>
      </c>
      <c r="I86">
        <f t="shared" si="4"/>
        <v>125</v>
      </c>
      <c r="J86">
        <f t="shared" si="5"/>
        <v>75</v>
      </c>
    </row>
    <row r="87" spans="1:10" ht="57.6" x14ac:dyDescent="0.3">
      <c r="A87" s="7" t="s">
        <v>216</v>
      </c>
      <c r="B87" t="s">
        <v>504</v>
      </c>
      <c r="C87" s="1" t="s">
        <v>537</v>
      </c>
      <c r="D87" t="s">
        <v>2</v>
      </c>
      <c r="E87">
        <v>1</v>
      </c>
      <c r="F87">
        <v>500</v>
      </c>
      <c r="G87">
        <v>350</v>
      </c>
      <c r="H87">
        <f t="shared" si="3"/>
        <v>500</v>
      </c>
      <c r="I87">
        <f t="shared" si="4"/>
        <v>350</v>
      </c>
      <c r="J87">
        <f t="shared" si="5"/>
        <v>150</v>
      </c>
    </row>
    <row r="88" spans="1:10" ht="28.8" x14ac:dyDescent="0.3">
      <c r="A88" s="7" t="s">
        <v>217</v>
      </c>
      <c r="B88" t="s">
        <v>505</v>
      </c>
      <c r="C88" s="1" t="s">
        <v>538</v>
      </c>
      <c r="D88" t="s">
        <v>428</v>
      </c>
      <c r="E88">
        <v>5</v>
      </c>
      <c r="F88">
        <v>60</v>
      </c>
      <c r="G88">
        <v>35</v>
      </c>
      <c r="H88">
        <f t="shared" si="3"/>
        <v>300</v>
      </c>
      <c r="I88">
        <f t="shared" si="4"/>
        <v>175</v>
      </c>
      <c r="J88">
        <f t="shared" si="5"/>
        <v>125</v>
      </c>
    </row>
    <row r="89" spans="1:10" ht="57.6" x14ac:dyDescent="0.3">
      <c r="A89" s="7" t="s">
        <v>218</v>
      </c>
      <c r="B89" t="s">
        <v>506</v>
      </c>
      <c r="C89" s="1" t="s">
        <v>537</v>
      </c>
      <c r="D89" t="s">
        <v>2</v>
      </c>
      <c r="E89">
        <v>1</v>
      </c>
      <c r="F89">
        <v>500</v>
      </c>
      <c r="G89">
        <v>350</v>
      </c>
      <c r="H89">
        <f t="shared" si="3"/>
        <v>500</v>
      </c>
      <c r="I89">
        <f t="shared" si="4"/>
        <v>350</v>
      </c>
      <c r="J89">
        <f t="shared" si="5"/>
        <v>150</v>
      </c>
    </row>
    <row r="90" spans="1:10" ht="28.8" x14ac:dyDescent="0.3">
      <c r="A90" s="7" t="s">
        <v>219</v>
      </c>
      <c r="B90" t="s">
        <v>507</v>
      </c>
      <c r="C90" s="1" t="s">
        <v>207</v>
      </c>
      <c r="D90" t="s">
        <v>420</v>
      </c>
      <c r="E90">
        <v>1</v>
      </c>
      <c r="F90">
        <v>300</v>
      </c>
      <c r="G90">
        <v>150</v>
      </c>
      <c r="H90">
        <f t="shared" si="3"/>
        <v>300</v>
      </c>
      <c r="I90">
        <f t="shared" si="4"/>
        <v>150</v>
      </c>
      <c r="J90">
        <f t="shared" si="5"/>
        <v>150</v>
      </c>
    </row>
    <row r="91" spans="1:10" ht="43.2" x14ac:dyDescent="0.3">
      <c r="A91" s="7" t="s">
        <v>220</v>
      </c>
      <c r="B91" t="s">
        <v>508</v>
      </c>
      <c r="C91" s="1" t="s">
        <v>539</v>
      </c>
      <c r="D91" t="s">
        <v>420</v>
      </c>
      <c r="E91">
        <v>1</v>
      </c>
      <c r="F91">
        <v>500</v>
      </c>
      <c r="G91">
        <v>350</v>
      </c>
      <c r="H91">
        <f t="shared" si="3"/>
        <v>500</v>
      </c>
      <c r="I91">
        <f t="shared" si="4"/>
        <v>350</v>
      </c>
      <c r="J91">
        <f t="shared" si="5"/>
        <v>150</v>
      </c>
    </row>
    <row r="92" spans="1:10" ht="43.2" x14ac:dyDescent="0.3">
      <c r="A92" s="7" t="s">
        <v>220</v>
      </c>
      <c r="B92" t="s">
        <v>541</v>
      </c>
      <c r="C92" s="1" t="s">
        <v>540</v>
      </c>
      <c r="D92" t="s">
        <v>420</v>
      </c>
      <c r="E92">
        <v>1</v>
      </c>
      <c r="F92">
        <v>250</v>
      </c>
      <c r="G92">
        <v>150</v>
      </c>
      <c r="H92">
        <f t="shared" si="3"/>
        <v>250</v>
      </c>
      <c r="I92">
        <f t="shared" si="4"/>
        <v>150</v>
      </c>
      <c r="J92">
        <f t="shared" si="5"/>
        <v>100</v>
      </c>
    </row>
    <row r="93" spans="1:10" ht="43.2" x14ac:dyDescent="0.3">
      <c r="A93" s="7" t="s">
        <v>221</v>
      </c>
      <c r="B93" t="s">
        <v>542</v>
      </c>
      <c r="C93" s="1" t="s">
        <v>223</v>
      </c>
      <c r="D93" t="s">
        <v>420</v>
      </c>
      <c r="E93">
        <v>1</v>
      </c>
      <c r="F93">
        <v>350</v>
      </c>
      <c r="G93">
        <v>250</v>
      </c>
      <c r="H93">
        <f t="shared" si="3"/>
        <v>350</v>
      </c>
      <c r="I93">
        <f t="shared" si="4"/>
        <v>250</v>
      </c>
      <c r="J93">
        <f t="shared" si="5"/>
        <v>100</v>
      </c>
    </row>
    <row r="94" spans="1:10" ht="43.2" x14ac:dyDescent="0.3">
      <c r="A94" s="7" t="s">
        <v>239</v>
      </c>
      <c r="B94" t="s">
        <v>543</v>
      </c>
      <c r="C94" s="1" t="s">
        <v>222</v>
      </c>
      <c r="D94" t="s">
        <v>420</v>
      </c>
      <c r="E94">
        <v>2</v>
      </c>
      <c r="F94">
        <v>200</v>
      </c>
      <c r="G94">
        <v>120</v>
      </c>
      <c r="H94">
        <f t="shared" si="3"/>
        <v>400</v>
      </c>
      <c r="I94">
        <f t="shared" si="4"/>
        <v>240</v>
      </c>
      <c r="J94">
        <f t="shared" si="5"/>
        <v>160</v>
      </c>
    </row>
    <row r="95" spans="1:10" ht="43.2" x14ac:dyDescent="0.3">
      <c r="A95" s="7" t="s">
        <v>240</v>
      </c>
      <c r="B95" t="s">
        <v>544</v>
      </c>
      <c r="C95" s="1" t="s">
        <v>612</v>
      </c>
      <c r="D95" t="s">
        <v>420</v>
      </c>
      <c r="E95">
        <v>1</v>
      </c>
      <c r="F95">
        <v>400</v>
      </c>
      <c r="G95">
        <v>300</v>
      </c>
      <c r="H95">
        <f t="shared" si="3"/>
        <v>400</v>
      </c>
      <c r="I95">
        <f t="shared" si="4"/>
        <v>300</v>
      </c>
      <c r="J95">
        <f t="shared" si="5"/>
        <v>100</v>
      </c>
    </row>
    <row r="96" spans="1:10" x14ac:dyDescent="0.3">
      <c r="A96" s="7" t="s">
        <v>240</v>
      </c>
      <c r="B96" t="s">
        <v>545</v>
      </c>
      <c r="C96" t="s">
        <v>613</v>
      </c>
      <c r="D96" t="s">
        <v>420</v>
      </c>
      <c r="E96">
        <v>1</v>
      </c>
      <c r="F96">
        <v>250</v>
      </c>
      <c r="G96">
        <v>150</v>
      </c>
      <c r="H96">
        <f t="shared" si="3"/>
        <v>250</v>
      </c>
      <c r="I96">
        <f t="shared" si="4"/>
        <v>150</v>
      </c>
      <c r="J96">
        <f t="shared" si="5"/>
        <v>100</v>
      </c>
    </row>
    <row r="97" spans="1:10" ht="43.2" x14ac:dyDescent="0.3">
      <c r="A97" s="7" t="s">
        <v>241</v>
      </c>
      <c r="B97" t="s">
        <v>546</v>
      </c>
      <c r="C97" s="1" t="s">
        <v>614</v>
      </c>
      <c r="D97" t="s">
        <v>420</v>
      </c>
      <c r="E97">
        <v>5</v>
      </c>
      <c r="F97">
        <v>300</v>
      </c>
      <c r="G97">
        <v>200</v>
      </c>
      <c r="H97">
        <f t="shared" si="3"/>
        <v>1500</v>
      </c>
      <c r="I97">
        <f t="shared" si="4"/>
        <v>1000</v>
      </c>
      <c r="J97">
        <f t="shared" si="5"/>
        <v>500</v>
      </c>
    </row>
    <row r="98" spans="1:10" ht="72" x14ac:dyDescent="0.3">
      <c r="A98" s="7" t="s">
        <v>242</v>
      </c>
      <c r="B98" t="s">
        <v>547</v>
      </c>
      <c r="C98" s="1" t="s">
        <v>616</v>
      </c>
      <c r="D98" t="s">
        <v>420</v>
      </c>
      <c r="E98">
        <v>1</v>
      </c>
      <c r="F98">
        <v>300</v>
      </c>
      <c r="G98">
        <v>180</v>
      </c>
      <c r="H98">
        <f t="shared" si="3"/>
        <v>300</v>
      </c>
      <c r="I98">
        <f t="shared" si="4"/>
        <v>180</v>
      </c>
      <c r="J98">
        <f t="shared" si="5"/>
        <v>120</v>
      </c>
    </row>
    <row r="99" spans="1:10" ht="72" x14ac:dyDescent="0.3">
      <c r="A99" s="7" t="s">
        <v>242</v>
      </c>
      <c r="B99" t="s">
        <v>548</v>
      </c>
      <c r="C99" s="1" t="s">
        <v>615</v>
      </c>
      <c r="D99" t="s">
        <v>420</v>
      </c>
      <c r="E99">
        <v>1</v>
      </c>
      <c r="F99">
        <v>300</v>
      </c>
      <c r="G99">
        <v>180</v>
      </c>
      <c r="H99">
        <f t="shared" si="3"/>
        <v>300</v>
      </c>
      <c r="I99">
        <f t="shared" si="4"/>
        <v>180</v>
      </c>
      <c r="J99">
        <f t="shared" si="5"/>
        <v>120</v>
      </c>
    </row>
    <row r="100" spans="1:10" ht="57.6" x14ac:dyDescent="0.3">
      <c r="A100" s="7" t="s">
        <v>243</v>
      </c>
      <c r="B100" t="s">
        <v>549</v>
      </c>
      <c r="C100" s="1" t="s">
        <v>225</v>
      </c>
      <c r="D100" t="s">
        <v>420</v>
      </c>
      <c r="E100">
        <v>1</v>
      </c>
      <c r="F100">
        <v>250</v>
      </c>
      <c r="G100">
        <v>180</v>
      </c>
      <c r="H100">
        <f t="shared" si="3"/>
        <v>250</v>
      </c>
      <c r="I100">
        <f t="shared" si="4"/>
        <v>180</v>
      </c>
      <c r="J100">
        <f t="shared" si="5"/>
        <v>70</v>
      </c>
    </row>
    <row r="101" spans="1:10" ht="28.8" x14ac:dyDescent="0.3">
      <c r="A101" s="7" t="s">
        <v>244</v>
      </c>
      <c r="B101" t="s">
        <v>550</v>
      </c>
      <c r="C101" s="1" t="s">
        <v>617</v>
      </c>
      <c r="D101" t="s">
        <v>421</v>
      </c>
      <c r="E101">
        <v>1</v>
      </c>
      <c r="F101">
        <v>400</v>
      </c>
      <c r="G101">
        <v>300</v>
      </c>
      <c r="H101">
        <f t="shared" si="3"/>
        <v>400</v>
      </c>
      <c r="I101">
        <f t="shared" si="4"/>
        <v>300</v>
      </c>
      <c r="J101">
        <f t="shared" si="5"/>
        <v>100</v>
      </c>
    </row>
    <row r="102" spans="1:10" ht="43.2" x14ac:dyDescent="0.3">
      <c r="A102" s="7" t="s">
        <v>245</v>
      </c>
      <c r="B102" t="s">
        <v>551</v>
      </c>
      <c r="C102" s="1" t="s">
        <v>618</v>
      </c>
      <c r="D102" t="s">
        <v>420</v>
      </c>
      <c r="E102">
        <v>5</v>
      </c>
      <c r="F102">
        <v>150</v>
      </c>
      <c r="G102">
        <v>80</v>
      </c>
      <c r="H102">
        <f t="shared" si="3"/>
        <v>750</v>
      </c>
      <c r="I102">
        <f t="shared" si="4"/>
        <v>400</v>
      </c>
      <c r="J102">
        <f t="shared" si="5"/>
        <v>350</v>
      </c>
    </row>
    <row r="103" spans="1:10" ht="28.8" x14ac:dyDescent="0.3">
      <c r="A103" s="7" t="s">
        <v>246</v>
      </c>
      <c r="B103" t="s">
        <v>552</v>
      </c>
      <c r="C103" s="1" t="s">
        <v>617</v>
      </c>
      <c r="D103" t="s">
        <v>421</v>
      </c>
      <c r="E103">
        <v>1</v>
      </c>
      <c r="F103">
        <v>750</v>
      </c>
      <c r="G103">
        <v>500</v>
      </c>
      <c r="H103">
        <f t="shared" si="3"/>
        <v>750</v>
      </c>
      <c r="I103">
        <f t="shared" si="4"/>
        <v>500</v>
      </c>
      <c r="J103">
        <f t="shared" si="5"/>
        <v>250</v>
      </c>
    </row>
    <row r="104" spans="1:10" ht="43.2" x14ac:dyDescent="0.3">
      <c r="A104" s="7" t="s">
        <v>247</v>
      </c>
      <c r="B104" t="s">
        <v>553</v>
      </c>
      <c r="C104" s="1" t="s">
        <v>619</v>
      </c>
      <c r="D104" t="s">
        <v>420</v>
      </c>
      <c r="E104">
        <v>2</v>
      </c>
      <c r="F104">
        <v>300</v>
      </c>
      <c r="G104">
        <v>200</v>
      </c>
      <c r="H104">
        <f t="shared" si="3"/>
        <v>600</v>
      </c>
      <c r="I104">
        <f t="shared" si="4"/>
        <v>400</v>
      </c>
      <c r="J104">
        <f t="shared" si="5"/>
        <v>200</v>
      </c>
    </row>
    <row r="105" spans="1:10" x14ac:dyDescent="0.3">
      <c r="A105" s="7" t="s">
        <v>248</v>
      </c>
      <c r="B105" t="s">
        <v>554</v>
      </c>
      <c r="C105" s="1" t="s">
        <v>620</v>
      </c>
      <c r="D105" t="s">
        <v>420</v>
      </c>
      <c r="E105">
        <v>1</v>
      </c>
      <c r="F105">
        <v>250</v>
      </c>
      <c r="G105">
        <v>150</v>
      </c>
      <c r="H105">
        <f t="shared" si="3"/>
        <v>250</v>
      </c>
      <c r="I105">
        <f t="shared" si="4"/>
        <v>150</v>
      </c>
      <c r="J105">
        <f t="shared" si="5"/>
        <v>100</v>
      </c>
    </row>
    <row r="106" spans="1:10" ht="43.2" x14ac:dyDescent="0.3">
      <c r="A106" s="7" t="s">
        <v>248</v>
      </c>
      <c r="B106" t="s">
        <v>555</v>
      </c>
      <c r="C106" s="12" t="s">
        <v>621</v>
      </c>
      <c r="D106" s="7" t="s">
        <v>734</v>
      </c>
      <c r="E106">
        <v>1</v>
      </c>
      <c r="F106">
        <v>100</v>
      </c>
      <c r="G106">
        <v>50</v>
      </c>
      <c r="H106">
        <f t="shared" si="3"/>
        <v>100</v>
      </c>
      <c r="I106">
        <f t="shared" si="4"/>
        <v>50</v>
      </c>
      <c r="J106">
        <f t="shared" si="5"/>
        <v>50</v>
      </c>
    </row>
    <row r="107" spans="1:10" ht="28.8" x14ac:dyDescent="0.3">
      <c r="A107" s="7" t="s">
        <v>249</v>
      </c>
      <c r="B107" t="s">
        <v>556</v>
      </c>
      <c r="C107" s="1" t="s">
        <v>617</v>
      </c>
      <c r="D107" t="s">
        <v>421</v>
      </c>
      <c r="E107">
        <v>1</v>
      </c>
      <c r="F107">
        <v>750</v>
      </c>
      <c r="G107">
        <v>500</v>
      </c>
      <c r="H107">
        <f t="shared" si="3"/>
        <v>750</v>
      </c>
      <c r="I107">
        <f t="shared" si="4"/>
        <v>500</v>
      </c>
      <c r="J107">
        <f t="shared" si="5"/>
        <v>250</v>
      </c>
    </row>
    <row r="108" spans="1:10" ht="28.8" x14ac:dyDescent="0.3">
      <c r="A108" s="7" t="s">
        <v>250</v>
      </c>
      <c r="B108" t="s">
        <v>557</v>
      </c>
      <c r="C108" s="1" t="s">
        <v>623</v>
      </c>
      <c r="D108" t="s">
        <v>420</v>
      </c>
      <c r="E108">
        <v>2</v>
      </c>
      <c r="F108">
        <v>80</v>
      </c>
      <c r="G108">
        <v>50</v>
      </c>
      <c r="H108">
        <f t="shared" si="3"/>
        <v>160</v>
      </c>
      <c r="I108">
        <f t="shared" si="4"/>
        <v>100</v>
      </c>
      <c r="J108">
        <f t="shared" si="5"/>
        <v>60</v>
      </c>
    </row>
    <row r="109" spans="1:10" ht="43.2" x14ac:dyDescent="0.3">
      <c r="A109" s="7" t="s">
        <v>250</v>
      </c>
      <c r="B109" t="s">
        <v>558</v>
      </c>
      <c r="C109" s="1" t="s">
        <v>622</v>
      </c>
      <c r="D109" t="s">
        <v>420</v>
      </c>
      <c r="E109">
        <v>2</v>
      </c>
      <c r="F109">
        <v>40</v>
      </c>
      <c r="G109">
        <v>25</v>
      </c>
      <c r="H109">
        <f t="shared" si="3"/>
        <v>80</v>
      </c>
      <c r="I109">
        <f t="shared" si="4"/>
        <v>50</v>
      </c>
      <c r="J109">
        <f t="shared" si="5"/>
        <v>30</v>
      </c>
    </row>
    <row r="110" spans="1:10" ht="43.2" x14ac:dyDescent="0.3">
      <c r="A110" s="7" t="s">
        <v>251</v>
      </c>
      <c r="B110" t="s">
        <v>559</v>
      </c>
      <c r="C110" s="1" t="s">
        <v>371</v>
      </c>
      <c r="D110" t="s">
        <v>420</v>
      </c>
      <c r="E110">
        <v>1</v>
      </c>
      <c r="F110">
        <v>400</v>
      </c>
      <c r="G110">
        <v>300</v>
      </c>
      <c r="H110">
        <f t="shared" si="3"/>
        <v>400</v>
      </c>
      <c r="I110">
        <f t="shared" si="4"/>
        <v>300</v>
      </c>
      <c r="J110">
        <f t="shared" si="5"/>
        <v>100</v>
      </c>
    </row>
    <row r="111" spans="1:10" ht="43.2" x14ac:dyDescent="0.3">
      <c r="A111" s="7" t="s">
        <v>252</v>
      </c>
      <c r="B111" t="s">
        <v>560</v>
      </c>
      <c r="C111" s="1" t="s">
        <v>624</v>
      </c>
      <c r="D111" t="s">
        <v>418</v>
      </c>
      <c r="E111">
        <v>80</v>
      </c>
      <c r="F111">
        <v>150</v>
      </c>
      <c r="G111">
        <v>100</v>
      </c>
      <c r="H111">
        <f t="shared" si="3"/>
        <v>12000</v>
      </c>
      <c r="I111">
        <f t="shared" si="4"/>
        <v>8000</v>
      </c>
      <c r="J111">
        <f t="shared" si="5"/>
        <v>4000</v>
      </c>
    </row>
    <row r="112" spans="1:10" ht="43.2" x14ac:dyDescent="0.3">
      <c r="A112" s="7" t="s">
        <v>253</v>
      </c>
      <c r="B112" t="s">
        <v>561</v>
      </c>
      <c r="C112" s="1" t="s">
        <v>226</v>
      </c>
      <c r="D112" t="s">
        <v>420</v>
      </c>
      <c r="E112">
        <v>1</v>
      </c>
      <c r="F112">
        <v>500</v>
      </c>
      <c r="G112">
        <v>350</v>
      </c>
      <c r="H112">
        <f t="shared" si="3"/>
        <v>500</v>
      </c>
      <c r="I112">
        <f t="shared" si="4"/>
        <v>350</v>
      </c>
      <c r="J112">
        <f t="shared" si="5"/>
        <v>150</v>
      </c>
    </row>
    <row r="113" spans="1:10" ht="28.8" x14ac:dyDescent="0.3">
      <c r="A113" s="7" t="s">
        <v>254</v>
      </c>
      <c r="B113" t="s">
        <v>562</v>
      </c>
      <c r="C113" s="1" t="s">
        <v>617</v>
      </c>
      <c r="D113" t="s">
        <v>421</v>
      </c>
      <c r="E113">
        <v>1</v>
      </c>
      <c r="F113">
        <v>750</v>
      </c>
      <c r="G113">
        <v>500</v>
      </c>
      <c r="H113">
        <f t="shared" si="3"/>
        <v>750</v>
      </c>
      <c r="I113">
        <f t="shared" si="4"/>
        <v>500</v>
      </c>
      <c r="J113">
        <f t="shared" si="5"/>
        <v>250</v>
      </c>
    </row>
    <row r="114" spans="1:10" ht="43.2" x14ac:dyDescent="0.3">
      <c r="A114" s="7" t="s">
        <v>270</v>
      </c>
      <c r="B114" t="s">
        <v>563</v>
      </c>
      <c r="C114" s="1" t="s">
        <v>625</v>
      </c>
      <c r="D114" t="s">
        <v>420</v>
      </c>
      <c r="E114">
        <v>10</v>
      </c>
      <c r="F114">
        <v>40</v>
      </c>
      <c r="G114">
        <v>25</v>
      </c>
      <c r="H114">
        <f t="shared" si="3"/>
        <v>400</v>
      </c>
      <c r="I114">
        <f t="shared" si="4"/>
        <v>250</v>
      </c>
      <c r="J114">
        <f t="shared" si="5"/>
        <v>150</v>
      </c>
    </row>
    <row r="115" spans="1:10" ht="57.6" x14ac:dyDescent="0.3">
      <c r="A115" s="7" t="s">
        <v>271</v>
      </c>
      <c r="B115" t="s">
        <v>564</v>
      </c>
      <c r="C115" s="1" t="s">
        <v>370</v>
      </c>
      <c r="D115" t="s">
        <v>420</v>
      </c>
      <c r="E115">
        <v>1</v>
      </c>
      <c r="F115">
        <v>600</v>
      </c>
      <c r="G115">
        <v>450</v>
      </c>
      <c r="H115">
        <f t="shared" si="3"/>
        <v>600</v>
      </c>
      <c r="I115">
        <f t="shared" si="4"/>
        <v>450</v>
      </c>
      <c r="J115">
        <f t="shared" si="5"/>
        <v>150</v>
      </c>
    </row>
    <row r="116" spans="1:10" ht="43.2" x14ac:dyDescent="0.3">
      <c r="A116" s="7" t="s">
        <v>272</v>
      </c>
      <c r="B116" t="s">
        <v>565</v>
      </c>
      <c r="C116" s="1" t="s">
        <v>536</v>
      </c>
      <c r="D116" t="s">
        <v>420</v>
      </c>
      <c r="E116">
        <v>5</v>
      </c>
      <c r="F116">
        <v>40</v>
      </c>
      <c r="G116">
        <v>25</v>
      </c>
      <c r="H116">
        <f t="shared" si="3"/>
        <v>200</v>
      </c>
      <c r="I116">
        <f t="shared" si="4"/>
        <v>125</v>
      </c>
      <c r="J116">
        <f t="shared" si="5"/>
        <v>75</v>
      </c>
    </row>
    <row r="117" spans="1:10" ht="43.2" x14ac:dyDescent="0.3">
      <c r="A117" s="7" t="s">
        <v>273</v>
      </c>
      <c r="B117" t="s">
        <v>566</v>
      </c>
      <c r="C117" s="1" t="s">
        <v>625</v>
      </c>
      <c r="D117" t="s">
        <v>420</v>
      </c>
      <c r="E117">
        <v>20</v>
      </c>
      <c r="F117">
        <v>40</v>
      </c>
      <c r="G117">
        <v>25</v>
      </c>
      <c r="H117">
        <f t="shared" si="3"/>
        <v>800</v>
      </c>
      <c r="I117">
        <f t="shared" si="4"/>
        <v>500</v>
      </c>
      <c r="J117">
        <f t="shared" si="5"/>
        <v>300</v>
      </c>
    </row>
    <row r="118" spans="1:10" ht="43.2" x14ac:dyDescent="0.3">
      <c r="A118" s="7" t="s">
        <v>274</v>
      </c>
      <c r="B118" t="s">
        <v>567</v>
      </c>
      <c r="C118" s="1" t="s">
        <v>536</v>
      </c>
      <c r="D118" t="s">
        <v>420</v>
      </c>
      <c r="E118">
        <v>10</v>
      </c>
      <c r="F118">
        <v>40</v>
      </c>
      <c r="G118">
        <v>25</v>
      </c>
      <c r="H118">
        <f t="shared" si="3"/>
        <v>400</v>
      </c>
      <c r="I118">
        <f t="shared" si="4"/>
        <v>250</v>
      </c>
      <c r="J118">
        <f t="shared" si="5"/>
        <v>150</v>
      </c>
    </row>
    <row r="119" spans="1:10" ht="43.2" x14ac:dyDescent="0.3">
      <c r="A119" s="7" t="s">
        <v>275</v>
      </c>
      <c r="B119" t="s">
        <v>568</v>
      </c>
      <c r="C119" s="1" t="s">
        <v>625</v>
      </c>
      <c r="D119" t="s">
        <v>420</v>
      </c>
      <c r="E119">
        <v>20</v>
      </c>
      <c r="F119">
        <v>40</v>
      </c>
      <c r="G119">
        <v>25</v>
      </c>
      <c r="H119">
        <f t="shared" si="3"/>
        <v>800</v>
      </c>
      <c r="I119">
        <f t="shared" si="4"/>
        <v>500</v>
      </c>
      <c r="J119">
        <f t="shared" si="5"/>
        <v>300</v>
      </c>
    </row>
    <row r="120" spans="1:10" ht="43.2" x14ac:dyDescent="0.3">
      <c r="A120" s="7" t="s">
        <v>276</v>
      </c>
      <c r="B120" t="s">
        <v>569</v>
      </c>
      <c r="C120" s="1" t="s">
        <v>618</v>
      </c>
      <c r="D120" t="s">
        <v>420</v>
      </c>
      <c r="E120">
        <v>2</v>
      </c>
      <c r="F120">
        <v>150</v>
      </c>
      <c r="G120">
        <v>80</v>
      </c>
      <c r="H120">
        <f t="shared" si="3"/>
        <v>300</v>
      </c>
      <c r="I120">
        <f t="shared" si="4"/>
        <v>160</v>
      </c>
      <c r="J120">
        <f t="shared" si="5"/>
        <v>140</v>
      </c>
    </row>
    <row r="121" spans="1:10" ht="43.2" x14ac:dyDescent="0.3">
      <c r="A121" s="7" t="s">
        <v>277</v>
      </c>
      <c r="B121" t="s">
        <v>570</v>
      </c>
      <c r="C121" s="1" t="s">
        <v>625</v>
      </c>
      <c r="D121" t="s">
        <v>420</v>
      </c>
      <c r="E121">
        <v>10</v>
      </c>
      <c r="F121">
        <v>40</v>
      </c>
      <c r="G121">
        <v>25</v>
      </c>
      <c r="H121">
        <f t="shared" si="3"/>
        <v>400</v>
      </c>
      <c r="I121">
        <f t="shared" si="4"/>
        <v>250</v>
      </c>
      <c r="J121">
        <f t="shared" si="5"/>
        <v>150</v>
      </c>
    </row>
    <row r="122" spans="1:10" ht="43.2" x14ac:dyDescent="0.3">
      <c r="A122" s="7" t="s">
        <v>278</v>
      </c>
      <c r="B122" t="s">
        <v>571</v>
      </c>
      <c r="C122" s="1" t="s">
        <v>222</v>
      </c>
      <c r="D122" t="s">
        <v>420</v>
      </c>
      <c r="E122">
        <v>1</v>
      </c>
      <c r="F122">
        <v>200</v>
      </c>
      <c r="G122">
        <v>120</v>
      </c>
      <c r="H122">
        <f t="shared" si="3"/>
        <v>200</v>
      </c>
      <c r="I122">
        <f t="shared" si="4"/>
        <v>120</v>
      </c>
      <c r="J122">
        <f t="shared" si="5"/>
        <v>80</v>
      </c>
    </row>
    <row r="123" spans="1:10" ht="57.6" x14ac:dyDescent="0.3">
      <c r="A123" s="7" t="s">
        <v>279</v>
      </c>
      <c r="B123" t="s">
        <v>572</v>
      </c>
      <c r="C123" s="1" t="s">
        <v>390</v>
      </c>
      <c r="D123" t="s">
        <v>420</v>
      </c>
      <c r="E123">
        <v>1</v>
      </c>
      <c r="F123">
        <v>500</v>
      </c>
      <c r="G123">
        <v>350</v>
      </c>
      <c r="H123">
        <f t="shared" si="3"/>
        <v>500</v>
      </c>
      <c r="I123">
        <f t="shared" si="4"/>
        <v>350</v>
      </c>
      <c r="J123">
        <f t="shared" si="5"/>
        <v>150</v>
      </c>
    </row>
    <row r="124" spans="1:10" ht="28.8" x14ac:dyDescent="0.3">
      <c r="A124" s="7" t="s">
        <v>280</v>
      </c>
      <c r="B124" t="s">
        <v>573</v>
      </c>
      <c r="C124" s="1" t="s">
        <v>626</v>
      </c>
      <c r="D124" t="s">
        <v>420</v>
      </c>
      <c r="E124">
        <v>2</v>
      </c>
      <c r="F124">
        <v>150</v>
      </c>
      <c r="G124">
        <v>80</v>
      </c>
      <c r="H124">
        <f t="shared" si="3"/>
        <v>300</v>
      </c>
      <c r="I124">
        <f t="shared" si="4"/>
        <v>160</v>
      </c>
      <c r="J124">
        <f t="shared" si="5"/>
        <v>140</v>
      </c>
    </row>
    <row r="125" spans="1:10" ht="43.2" x14ac:dyDescent="0.3">
      <c r="A125" s="7" t="s">
        <v>281</v>
      </c>
      <c r="B125" t="s">
        <v>574</v>
      </c>
      <c r="C125" s="1" t="s">
        <v>389</v>
      </c>
      <c r="D125" t="s">
        <v>420</v>
      </c>
      <c r="E125">
        <v>1</v>
      </c>
      <c r="F125">
        <v>350</v>
      </c>
      <c r="G125">
        <v>250</v>
      </c>
      <c r="H125">
        <f t="shared" si="3"/>
        <v>350</v>
      </c>
      <c r="I125">
        <f t="shared" si="4"/>
        <v>250</v>
      </c>
      <c r="J125">
        <f t="shared" si="5"/>
        <v>100</v>
      </c>
    </row>
    <row r="126" spans="1:10" ht="43.2" x14ac:dyDescent="0.3">
      <c r="A126" s="7" t="s">
        <v>282</v>
      </c>
      <c r="B126" t="s">
        <v>575</v>
      </c>
      <c r="C126" s="1" t="s">
        <v>222</v>
      </c>
      <c r="D126" t="s">
        <v>420</v>
      </c>
      <c r="E126">
        <v>1</v>
      </c>
      <c r="F126">
        <v>200</v>
      </c>
      <c r="G126">
        <v>120</v>
      </c>
      <c r="H126">
        <f t="shared" si="3"/>
        <v>200</v>
      </c>
      <c r="I126">
        <f t="shared" si="4"/>
        <v>120</v>
      </c>
      <c r="J126">
        <f t="shared" si="5"/>
        <v>80</v>
      </c>
    </row>
    <row r="127" spans="1:10" ht="57.6" x14ac:dyDescent="0.3">
      <c r="A127" s="7" t="s">
        <v>283</v>
      </c>
      <c r="B127" t="s">
        <v>576</v>
      </c>
      <c r="C127" s="1" t="s">
        <v>391</v>
      </c>
      <c r="D127" t="s">
        <v>447</v>
      </c>
      <c r="E127">
        <v>1</v>
      </c>
      <c r="F127">
        <v>450</v>
      </c>
      <c r="G127">
        <v>320</v>
      </c>
      <c r="H127">
        <f t="shared" si="3"/>
        <v>450</v>
      </c>
      <c r="I127">
        <f t="shared" si="4"/>
        <v>320</v>
      </c>
      <c r="J127">
        <f t="shared" si="5"/>
        <v>130</v>
      </c>
    </row>
    <row r="128" spans="1:10" ht="43.2" x14ac:dyDescent="0.3">
      <c r="A128" s="7" t="s">
        <v>284</v>
      </c>
      <c r="B128" t="s">
        <v>577</v>
      </c>
      <c r="C128" s="1" t="s">
        <v>142</v>
      </c>
      <c r="D128" t="s">
        <v>420</v>
      </c>
      <c r="E128">
        <v>1</v>
      </c>
      <c r="F128">
        <v>600</v>
      </c>
      <c r="G128">
        <v>400</v>
      </c>
      <c r="H128">
        <f t="shared" si="3"/>
        <v>600</v>
      </c>
      <c r="I128">
        <f t="shared" si="4"/>
        <v>400</v>
      </c>
      <c r="J128">
        <f t="shared" si="5"/>
        <v>200</v>
      </c>
    </row>
    <row r="129" spans="1:10" ht="28.8" x14ac:dyDescent="0.3">
      <c r="A129" s="7" t="s">
        <v>285</v>
      </c>
      <c r="B129" t="s">
        <v>578</v>
      </c>
      <c r="C129" s="1" t="s">
        <v>617</v>
      </c>
      <c r="D129" t="s">
        <v>421</v>
      </c>
      <c r="E129">
        <v>1</v>
      </c>
      <c r="F129">
        <v>400</v>
      </c>
      <c r="G129">
        <v>300</v>
      </c>
      <c r="H129">
        <f t="shared" si="3"/>
        <v>400</v>
      </c>
      <c r="I129">
        <f t="shared" si="4"/>
        <v>300</v>
      </c>
      <c r="J129">
        <f t="shared" si="5"/>
        <v>100</v>
      </c>
    </row>
    <row r="130" spans="1:10" ht="28.8" x14ac:dyDescent="0.3">
      <c r="A130" s="7" t="s">
        <v>286</v>
      </c>
      <c r="B130" t="s">
        <v>579</v>
      </c>
      <c r="C130" s="1" t="s">
        <v>627</v>
      </c>
      <c r="D130" t="s">
        <v>420</v>
      </c>
      <c r="E130">
        <v>1</v>
      </c>
      <c r="F130">
        <v>250</v>
      </c>
      <c r="G130">
        <v>150</v>
      </c>
      <c r="H130">
        <f t="shared" ref="H130:H179" si="6">E130*F130</f>
        <v>250</v>
      </c>
      <c r="I130">
        <f t="shared" ref="I130:I179" si="7">E130*G130</f>
        <v>150</v>
      </c>
      <c r="J130">
        <f t="shared" ref="J130:J179" si="8">H130-I130</f>
        <v>100</v>
      </c>
    </row>
    <row r="131" spans="1:10" ht="28.8" x14ac:dyDescent="0.3">
      <c r="A131" s="7" t="s">
        <v>286</v>
      </c>
      <c r="B131" t="s">
        <v>580</v>
      </c>
      <c r="C131" s="1" t="s">
        <v>628</v>
      </c>
      <c r="D131" t="s">
        <v>420</v>
      </c>
      <c r="E131">
        <v>1</v>
      </c>
      <c r="F131">
        <v>250</v>
      </c>
      <c r="G131">
        <v>150</v>
      </c>
      <c r="H131">
        <f t="shared" si="6"/>
        <v>250</v>
      </c>
      <c r="I131">
        <f t="shared" si="7"/>
        <v>150</v>
      </c>
      <c r="J131">
        <f t="shared" si="8"/>
        <v>100</v>
      </c>
    </row>
    <row r="132" spans="1:10" ht="57.6" x14ac:dyDescent="0.3">
      <c r="A132" s="7" t="s">
        <v>287</v>
      </c>
      <c r="B132" t="s">
        <v>581</v>
      </c>
      <c r="C132" s="1" t="s">
        <v>391</v>
      </c>
      <c r="D132" t="s">
        <v>447</v>
      </c>
      <c r="E132">
        <v>1</v>
      </c>
      <c r="F132">
        <v>450</v>
      </c>
      <c r="G132">
        <v>320</v>
      </c>
      <c r="H132">
        <f t="shared" si="6"/>
        <v>450</v>
      </c>
      <c r="I132">
        <f t="shared" si="7"/>
        <v>320</v>
      </c>
      <c r="J132">
        <f t="shared" si="8"/>
        <v>130</v>
      </c>
    </row>
    <row r="133" spans="1:10" ht="28.8" x14ac:dyDescent="0.3">
      <c r="A133" s="7" t="s">
        <v>288</v>
      </c>
      <c r="B133" t="s">
        <v>582</v>
      </c>
      <c r="C133" s="1" t="s">
        <v>227</v>
      </c>
      <c r="D133" t="s">
        <v>420</v>
      </c>
      <c r="E133">
        <v>1</v>
      </c>
      <c r="F133">
        <v>250</v>
      </c>
      <c r="G133">
        <v>150</v>
      </c>
      <c r="H133">
        <f t="shared" si="6"/>
        <v>250</v>
      </c>
      <c r="I133">
        <f t="shared" si="7"/>
        <v>150</v>
      </c>
      <c r="J133">
        <f t="shared" si="8"/>
        <v>100</v>
      </c>
    </row>
    <row r="134" spans="1:10" x14ac:dyDescent="0.3">
      <c r="A134" s="7" t="s">
        <v>289</v>
      </c>
      <c r="B134" t="s">
        <v>583</v>
      </c>
      <c r="C134" s="1" t="s">
        <v>421</v>
      </c>
      <c r="D134" t="s">
        <v>421</v>
      </c>
      <c r="E134">
        <v>1</v>
      </c>
      <c r="F134">
        <v>450</v>
      </c>
      <c r="G134">
        <v>320</v>
      </c>
      <c r="H134">
        <f t="shared" si="6"/>
        <v>450</v>
      </c>
      <c r="I134">
        <f t="shared" si="7"/>
        <v>320</v>
      </c>
      <c r="J134">
        <f t="shared" si="8"/>
        <v>130</v>
      </c>
    </row>
    <row r="135" spans="1:10" ht="28.8" x14ac:dyDescent="0.3">
      <c r="A135" s="7" t="s">
        <v>290</v>
      </c>
      <c r="B135" t="s">
        <v>584</v>
      </c>
      <c r="C135" s="1" t="s">
        <v>398</v>
      </c>
      <c r="D135" t="s">
        <v>2</v>
      </c>
      <c r="E135">
        <v>1</v>
      </c>
      <c r="F135">
        <v>800</v>
      </c>
      <c r="G135">
        <v>650</v>
      </c>
      <c r="H135">
        <f t="shared" si="6"/>
        <v>800</v>
      </c>
      <c r="I135">
        <f t="shared" si="7"/>
        <v>650</v>
      </c>
      <c r="J135">
        <f t="shared" si="8"/>
        <v>150</v>
      </c>
    </row>
    <row r="136" spans="1:10" ht="57.6" x14ac:dyDescent="0.3">
      <c r="A136" s="7" t="s">
        <v>291</v>
      </c>
      <c r="B136" t="s">
        <v>585</v>
      </c>
      <c r="C136" s="1" t="s">
        <v>629</v>
      </c>
      <c r="D136" t="s">
        <v>2</v>
      </c>
      <c r="E136">
        <v>1</v>
      </c>
      <c r="F136">
        <v>450</v>
      </c>
      <c r="G136">
        <v>300</v>
      </c>
      <c r="H136">
        <f t="shared" si="6"/>
        <v>450</v>
      </c>
      <c r="I136">
        <f t="shared" si="7"/>
        <v>300</v>
      </c>
      <c r="J136">
        <f t="shared" si="8"/>
        <v>150</v>
      </c>
    </row>
    <row r="137" spans="1:10" ht="28.8" x14ac:dyDescent="0.3">
      <c r="A137" s="7" t="s">
        <v>291</v>
      </c>
      <c r="B137" t="s">
        <v>586</v>
      </c>
      <c r="C137" s="1" t="s">
        <v>630</v>
      </c>
      <c r="D137" t="s">
        <v>418</v>
      </c>
      <c r="E137">
        <v>1</v>
      </c>
      <c r="F137">
        <v>250</v>
      </c>
      <c r="G137">
        <v>120</v>
      </c>
      <c r="H137">
        <f t="shared" si="6"/>
        <v>250</v>
      </c>
      <c r="I137">
        <f t="shared" si="7"/>
        <v>120</v>
      </c>
      <c r="J137">
        <f t="shared" si="8"/>
        <v>130</v>
      </c>
    </row>
    <row r="138" spans="1:10" ht="28.8" x14ac:dyDescent="0.3">
      <c r="A138" s="7" t="s">
        <v>292</v>
      </c>
      <c r="B138" t="s">
        <v>587</v>
      </c>
      <c r="C138" s="1" t="s">
        <v>526</v>
      </c>
      <c r="D138" t="s">
        <v>421</v>
      </c>
      <c r="E138">
        <v>1</v>
      </c>
      <c r="F138">
        <v>200</v>
      </c>
      <c r="G138">
        <v>120</v>
      </c>
      <c r="H138">
        <f t="shared" si="6"/>
        <v>200</v>
      </c>
      <c r="I138">
        <f t="shared" si="7"/>
        <v>120</v>
      </c>
      <c r="J138">
        <f t="shared" si="8"/>
        <v>80</v>
      </c>
    </row>
    <row r="139" spans="1:10" ht="28.8" x14ac:dyDescent="0.3">
      <c r="A139" s="7" t="s">
        <v>293</v>
      </c>
      <c r="B139" t="s">
        <v>588</v>
      </c>
      <c r="C139" s="1" t="s">
        <v>526</v>
      </c>
      <c r="D139" t="s">
        <v>421</v>
      </c>
      <c r="E139">
        <v>1</v>
      </c>
      <c r="F139">
        <v>250</v>
      </c>
      <c r="G139">
        <v>150</v>
      </c>
      <c r="H139">
        <f t="shared" si="6"/>
        <v>250</v>
      </c>
      <c r="I139">
        <f t="shared" si="7"/>
        <v>150</v>
      </c>
      <c r="J139">
        <f t="shared" si="8"/>
        <v>100</v>
      </c>
    </row>
    <row r="140" spans="1:10" ht="28.8" x14ac:dyDescent="0.3">
      <c r="A140" s="7" t="s">
        <v>294</v>
      </c>
      <c r="B140" t="s">
        <v>589</v>
      </c>
      <c r="C140" s="1" t="s">
        <v>526</v>
      </c>
      <c r="D140" t="s">
        <v>421</v>
      </c>
      <c r="E140">
        <v>1</v>
      </c>
      <c r="F140">
        <v>200</v>
      </c>
      <c r="G140">
        <v>120</v>
      </c>
      <c r="H140">
        <f t="shared" si="6"/>
        <v>200</v>
      </c>
      <c r="I140">
        <f t="shared" si="7"/>
        <v>120</v>
      </c>
      <c r="J140">
        <f t="shared" si="8"/>
        <v>80</v>
      </c>
    </row>
    <row r="141" spans="1:10" x14ac:dyDescent="0.3">
      <c r="A141" s="7" t="s">
        <v>295</v>
      </c>
      <c r="B141" t="s">
        <v>590</v>
      </c>
      <c r="C141" s="1" t="s">
        <v>421</v>
      </c>
      <c r="D141" t="s">
        <v>421</v>
      </c>
      <c r="E141">
        <v>1</v>
      </c>
      <c r="F141">
        <v>200</v>
      </c>
      <c r="G141">
        <v>100</v>
      </c>
      <c r="H141">
        <f t="shared" si="6"/>
        <v>200</v>
      </c>
      <c r="I141">
        <f t="shared" si="7"/>
        <v>100</v>
      </c>
      <c r="J141">
        <f t="shared" si="8"/>
        <v>100</v>
      </c>
    </row>
    <row r="142" spans="1:10" ht="28.8" x14ac:dyDescent="0.3">
      <c r="A142" s="7" t="s">
        <v>296</v>
      </c>
      <c r="B142" t="s">
        <v>591</v>
      </c>
      <c r="C142" s="1" t="s">
        <v>526</v>
      </c>
      <c r="D142" t="s">
        <v>421</v>
      </c>
      <c r="E142">
        <v>1</v>
      </c>
      <c r="F142">
        <v>600</v>
      </c>
      <c r="G142">
        <v>480</v>
      </c>
      <c r="H142">
        <f t="shared" si="6"/>
        <v>600</v>
      </c>
      <c r="I142">
        <f t="shared" si="7"/>
        <v>480</v>
      </c>
      <c r="J142">
        <f t="shared" si="8"/>
        <v>120</v>
      </c>
    </row>
    <row r="143" spans="1:10" ht="57.6" x14ac:dyDescent="0.3">
      <c r="A143" s="7" t="s">
        <v>297</v>
      </c>
      <c r="B143" t="s">
        <v>592</v>
      </c>
      <c r="C143" s="1" t="s">
        <v>256</v>
      </c>
      <c r="D143" t="s">
        <v>420</v>
      </c>
      <c r="E143">
        <v>1</v>
      </c>
      <c r="F143">
        <v>300</v>
      </c>
      <c r="G143">
        <v>150</v>
      </c>
      <c r="H143">
        <f t="shared" si="6"/>
        <v>300</v>
      </c>
      <c r="I143">
        <f t="shared" si="7"/>
        <v>150</v>
      </c>
      <c r="J143">
        <f t="shared" si="8"/>
        <v>150</v>
      </c>
    </row>
    <row r="144" spans="1:10" ht="86.4" x14ac:dyDescent="0.3">
      <c r="A144" s="7" t="s">
        <v>298</v>
      </c>
      <c r="B144" t="s">
        <v>593</v>
      </c>
      <c r="C144" s="1" t="s">
        <v>257</v>
      </c>
      <c r="D144" t="s">
        <v>2</v>
      </c>
      <c r="E144">
        <v>1</v>
      </c>
      <c r="F144">
        <v>1000</v>
      </c>
      <c r="G144">
        <v>800</v>
      </c>
      <c r="H144">
        <f t="shared" si="6"/>
        <v>1000</v>
      </c>
      <c r="I144">
        <f t="shared" si="7"/>
        <v>800</v>
      </c>
      <c r="J144">
        <f t="shared" si="8"/>
        <v>200</v>
      </c>
    </row>
    <row r="145" spans="1:10" x14ac:dyDescent="0.3">
      <c r="A145" s="7" t="s">
        <v>299</v>
      </c>
      <c r="B145" t="s">
        <v>594</v>
      </c>
      <c r="C145" s="1" t="s">
        <v>421</v>
      </c>
      <c r="D145" t="s">
        <v>421</v>
      </c>
      <c r="E145">
        <v>1</v>
      </c>
      <c r="F145">
        <v>450</v>
      </c>
      <c r="G145">
        <v>350</v>
      </c>
      <c r="H145">
        <f t="shared" si="6"/>
        <v>450</v>
      </c>
      <c r="I145">
        <f t="shared" si="7"/>
        <v>350</v>
      </c>
      <c r="J145">
        <f t="shared" si="8"/>
        <v>100</v>
      </c>
    </row>
    <row r="146" spans="1:10" ht="43.2" x14ac:dyDescent="0.3">
      <c r="A146" s="7" t="s">
        <v>300</v>
      </c>
      <c r="B146" t="s">
        <v>595</v>
      </c>
      <c r="C146" s="12" t="s">
        <v>255</v>
      </c>
      <c r="D146" s="7" t="s">
        <v>732</v>
      </c>
      <c r="E146">
        <v>1</v>
      </c>
      <c r="F146">
        <v>150</v>
      </c>
      <c r="G146">
        <v>70</v>
      </c>
      <c r="H146">
        <f t="shared" si="6"/>
        <v>150</v>
      </c>
      <c r="I146">
        <f t="shared" si="7"/>
        <v>70</v>
      </c>
      <c r="J146">
        <f t="shared" si="8"/>
        <v>80</v>
      </c>
    </row>
    <row r="147" spans="1:10" ht="28.8" x14ac:dyDescent="0.3">
      <c r="A147" s="7" t="s">
        <v>301</v>
      </c>
      <c r="B147" t="s">
        <v>596</v>
      </c>
      <c r="C147" s="1" t="s">
        <v>526</v>
      </c>
      <c r="D147" t="s">
        <v>421</v>
      </c>
      <c r="E147">
        <v>1</v>
      </c>
      <c r="F147">
        <v>450</v>
      </c>
      <c r="G147">
        <v>320</v>
      </c>
      <c r="H147">
        <f t="shared" si="6"/>
        <v>450</v>
      </c>
      <c r="I147">
        <f t="shared" si="7"/>
        <v>320</v>
      </c>
      <c r="J147">
        <f t="shared" si="8"/>
        <v>130</v>
      </c>
    </row>
    <row r="148" spans="1:10" ht="72" x14ac:dyDescent="0.3">
      <c r="A148" s="7" t="s">
        <v>302</v>
      </c>
      <c r="B148" t="s">
        <v>597</v>
      </c>
      <c r="C148" s="1" t="s">
        <v>631</v>
      </c>
      <c r="D148" t="s">
        <v>2</v>
      </c>
      <c r="E148">
        <v>1</v>
      </c>
      <c r="F148">
        <v>1000</v>
      </c>
      <c r="G148">
        <v>800</v>
      </c>
      <c r="H148">
        <f t="shared" si="6"/>
        <v>1000</v>
      </c>
      <c r="I148">
        <f t="shared" si="7"/>
        <v>800</v>
      </c>
      <c r="J148">
        <f t="shared" si="8"/>
        <v>200</v>
      </c>
    </row>
    <row r="149" spans="1:10" ht="43.2" x14ac:dyDescent="0.3">
      <c r="A149" s="7" t="s">
        <v>303</v>
      </c>
      <c r="B149" t="s">
        <v>598</v>
      </c>
      <c r="C149" s="1" t="s">
        <v>258</v>
      </c>
      <c r="D149" t="s">
        <v>420</v>
      </c>
      <c r="E149">
        <v>1</v>
      </c>
      <c r="F149">
        <v>300</v>
      </c>
      <c r="G149">
        <v>200</v>
      </c>
      <c r="H149">
        <f t="shared" si="6"/>
        <v>300</v>
      </c>
      <c r="I149">
        <f t="shared" si="7"/>
        <v>200</v>
      </c>
      <c r="J149">
        <f t="shared" si="8"/>
        <v>100</v>
      </c>
    </row>
    <row r="150" spans="1:10" ht="28.8" x14ac:dyDescent="0.3">
      <c r="A150" s="7" t="s">
        <v>304</v>
      </c>
      <c r="B150" t="s">
        <v>599</v>
      </c>
      <c r="C150" s="1" t="s">
        <v>526</v>
      </c>
      <c r="D150" t="s">
        <v>421</v>
      </c>
      <c r="E150">
        <v>1</v>
      </c>
      <c r="F150">
        <v>450</v>
      </c>
      <c r="G150">
        <v>350</v>
      </c>
      <c r="H150">
        <f t="shared" si="6"/>
        <v>450</v>
      </c>
      <c r="I150">
        <f t="shared" si="7"/>
        <v>350</v>
      </c>
      <c r="J150">
        <f t="shared" si="8"/>
        <v>100</v>
      </c>
    </row>
    <row r="151" spans="1:10" ht="57.6" x14ac:dyDescent="0.3">
      <c r="A151" s="7" t="s">
        <v>305</v>
      </c>
      <c r="B151" t="s">
        <v>600</v>
      </c>
      <c r="C151" s="1" t="s">
        <v>259</v>
      </c>
      <c r="D151" t="s">
        <v>2</v>
      </c>
      <c r="E151">
        <v>1</v>
      </c>
      <c r="F151">
        <v>1000</v>
      </c>
      <c r="G151">
        <v>800</v>
      </c>
      <c r="H151">
        <f t="shared" si="6"/>
        <v>1000</v>
      </c>
      <c r="I151">
        <f t="shared" si="7"/>
        <v>800</v>
      </c>
      <c r="J151">
        <f t="shared" si="8"/>
        <v>200</v>
      </c>
    </row>
    <row r="152" spans="1:10" ht="57.6" x14ac:dyDescent="0.3">
      <c r="A152" s="7" t="s">
        <v>306</v>
      </c>
      <c r="B152" t="s">
        <v>601</v>
      </c>
      <c r="C152" s="1" t="s">
        <v>632</v>
      </c>
      <c r="D152" t="s">
        <v>420</v>
      </c>
      <c r="E152">
        <v>1</v>
      </c>
      <c r="F152">
        <v>300</v>
      </c>
      <c r="G152">
        <v>200</v>
      </c>
      <c r="H152">
        <f t="shared" si="6"/>
        <v>300</v>
      </c>
      <c r="I152">
        <f t="shared" si="7"/>
        <v>200</v>
      </c>
      <c r="J152">
        <f t="shared" si="8"/>
        <v>100</v>
      </c>
    </row>
    <row r="153" spans="1:10" x14ac:dyDescent="0.3">
      <c r="A153" s="7" t="s">
        <v>306</v>
      </c>
      <c r="B153" t="s">
        <v>602</v>
      </c>
      <c r="C153" t="s">
        <v>633</v>
      </c>
      <c r="D153" t="s">
        <v>420</v>
      </c>
      <c r="E153">
        <v>1</v>
      </c>
      <c r="F153">
        <v>300</v>
      </c>
      <c r="G153">
        <v>200</v>
      </c>
      <c r="H153">
        <f t="shared" si="6"/>
        <v>300</v>
      </c>
      <c r="I153">
        <f t="shared" si="7"/>
        <v>200</v>
      </c>
      <c r="J153">
        <f t="shared" si="8"/>
        <v>100</v>
      </c>
    </row>
    <row r="154" spans="1:10" ht="28.8" x14ac:dyDescent="0.3">
      <c r="A154" s="7" t="s">
        <v>307</v>
      </c>
      <c r="B154" t="s">
        <v>603</v>
      </c>
      <c r="C154" s="1" t="s">
        <v>636</v>
      </c>
      <c r="D154" t="s">
        <v>428</v>
      </c>
      <c r="E154">
        <v>1</v>
      </c>
      <c r="F154">
        <v>350</v>
      </c>
      <c r="G154">
        <v>250</v>
      </c>
      <c r="H154">
        <f t="shared" si="6"/>
        <v>350</v>
      </c>
      <c r="I154">
        <f t="shared" si="7"/>
        <v>250</v>
      </c>
      <c r="J154">
        <f t="shared" si="8"/>
        <v>100</v>
      </c>
    </row>
    <row r="155" spans="1:10" ht="28.8" x14ac:dyDescent="0.3">
      <c r="A155" s="7" t="s">
        <v>307</v>
      </c>
      <c r="B155" t="s">
        <v>604</v>
      </c>
      <c r="C155" s="1" t="s">
        <v>635</v>
      </c>
      <c r="D155" t="s">
        <v>428</v>
      </c>
      <c r="E155">
        <v>1</v>
      </c>
      <c r="F155">
        <v>250</v>
      </c>
      <c r="G155">
        <v>150</v>
      </c>
      <c r="H155">
        <f t="shared" si="6"/>
        <v>250</v>
      </c>
      <c r="I155">
        <f t="shared" si="7"/>
        <v>150</v>
      </c>
      <c r="J155">
        <f t="shared" si="8"/>
        <v>100</v>
      </c>
    </row>
    <row r="156" spans="1:10" ht="43.2" x14ac:dyDescent="0.3">
      <c r="A156" s="7" t="s">
        <v>307</v>
      </c>
      <c r="B156" t="s">
        <v>605</v>
      </c>
      <c r="C156" s="1" t="s">
        <v>634</v>
      </c>
      <c r="D156" t="s">
        <v>418</v>
      </c>
      <c r="E156">
        <v>1</v>
      </c>
      <c r="F156">
        <v>80</v>
      </c>
      <c r="G156">
        <v>50</v>
      </c>
      <c r="H156">
        <f t="shared" si="6"/>
        <v>80</v>
      </c>
      <c r="I156">
        <f t="shared" si="7"/>
        <v>50</v>
      </c>
      <c r="J156">
        <f t="shared" si="8"/>
        <v>30</v>
      </c>
    </row>
    <row r="157" spans="1:10" ht="43.2" x14ac:dyDescent="0.3">
      <c r="A157" s="7" t="s">
        <v>308</v>
      </c>
      <c r="B157" t="s">
        <v>606</v>
      </c>
      <c r="C157" s="1" t="s">
        <v>385</v>
      </c>
      <c r="D157" t="s">
        <v>418</v>
      </c>
      <c r="E157">
        <v>1</v>
      </c>
      <c r="F157">
        <v>100</v>
      </c>
      <c r="G157">
        <v>50</v>
      </c>
      <c r="H157">
        <f t="shared" si="6"/>
        <v>100</v>
      </c>
      <c r="I157">
        <f t="shared" si="7"/>
        <v>50</v>
      </c>
      <c r="J157">
        <f t="shared" si="8"/>
        <v>50</v>
      </c>
    </row>
    <row r="158" spans="1:10" ht="43.2" x14ac:dyDescent="0.3">
      <c r="A158" s="7" t="s">
        <v>352</v>
      </c>
      <c r="B158" t="s">
        <v>607</v>
      </c>
      <c r="C158" s="1" t="s">
        <v>261</v>
      </c>
      <c r="D158" t="s">
        <v>420</v>
      </c>
      <c r="E158">
        <v>1</v>
      </c>
      <c r="F158">
        <v>300</v>
      </c>
      <c r="G158">
        <v>220</v>
      </c>
      <c r="H158">
        <f t="shared" si="6"/>
        <v>300</v>
      </c>
      <c r="I158">
        <f t="shared" si="7"/>
        <v>220</v>
      </c>
      <c r="J158">
        <f t="shared" si="8"/>
        <v>80</v>
      </c>
    </row>
    <row r="159" spans="1:10" ht="43.2" x14ac:dyDescent="0.3">
      <c r="A159" s="7" t="s">
        <v>353</v>
      </c>
      <c r="B159" t="s">
        <v>608</v>
      </c>
      <c r="C159" s="1" t="s">
        <v>142</v>
      </c>
      <c r="D159" t="s">
        <v>420</v>
      </c>
      <c r="E159">
        <v>1</v>
      </c>
      <c r="F159">
        <v>600</v>
      </c>
      <c r="G159">
        <v>400</v>
      </c>
      <c r="H159">
        <f t="shared" si="6"/>
        <v>600</v>
      </c>
      <c r="I159">
        <f t="shared" si="7"/>
        <v>400</v>
      </c>
      <c r="J159">
        <f t="shared" si="8"/>
        <v>200</v>
      </c>
    </row>
    <row r="160" spans="1:10" ht="43.2" x14ac:dyDescent="0.3">
      <c r="A160" s="7" t="s">
        <v>354</v>
      </c>
      <c r="B160" t="s">
        <v>609</v>
      </c>
      <c r="C160" s="12" t="s">
        <v>260</v>
      </c>
      <c r="D160" s="7" t="s">
        <v>732</v>
      </c>
      <c r="E160">
        <v>1</v>
      </c>
      <c r="F160">
        <v>150</v>
      </c>
      <c r="G160">
        <v>80</v>
      </c>
      <c r="H160">
        <f t="shared" si="6"/>
        <v>150</v>
      </c>
      <c r="I160">
        <f t="shared" si="7"/>
        <v>80</v>
      </c>
      <c r="J160">
        <f t="shared" si="8"/>
        <v>70</v>
      </c>
    </row>
    <row r="161" spans="1:10" ht="28.8" x14ac:dyDescent="0.3">
      <c r="A161" s="7" t="s">
        <v>355</v>
      </c>
      <c r="B161" t="s">
        <v>610</v>
      </c>
      <c r="C161" s="12" t="s">
        <v>637</v>
      </c>
      <c r="D161" s="7" t="s">
        <v>732</v>
      </c>
      <c r="E161">
        <v>1</v>
      </c>
      <c r="F161">
        <v>2500</v>
      </c>
      <c r="G161">
        <v>2000</v>
      </c>
      <c r="H161">
        <f t="shared" si="6"/>
        <v>2500</v>
      </c>
      <c r="I161">
        <f t="shared" si="7"/>
        <v>2000</v>
      </c>
      <c r="J161">
        <f t="shared" si="8"/>
        <v>500</v>
      </c>
    </row>
    <row r="162" spans="1:10" ht="43.2" x14ac:dyDescent="0.3">
      <c r="A162" s="7" t="s">
        <v>356</v>
      </c>
      <c r="B162" t="s">
        <v>611</v>
      </c>
      <c r="C162" s="1" t="s">
        <v>262</v>
      </c>
      <c r="D162" t="s">
        <v>428</v>
      </c>
      <c r="E162">
        <v>1</v>
      </c>
      <c r="F162">
        <v>250</v>
      </c>
      <c r="G162">
        <v>150</v>
      </c>
      <c r="H162">
        <f t="shared" si="6"/>
        <v>250</v>
      </c>
      <c r="I162">
        <f t="shared" si="7"/>
        <v>150</v>
      </c>
      <c r="J162">
        <f t="shared" si="8"/>
        <v>100</v>
      </c>
    </row>
    <row r="163" spans="1:10" ht="28.8" x14ac:dyDescent="0.3">
      <c r="A163" s="7" t="s">
        <v>357</v>
      </c>
      <c r="B163" t="s">
        <v>638</v>
      </c>
      <c r="C163" s="1" t="s">
        <v>526</v>
      </c>
      <c r="D163" t="s">
        <v>421</v>
      </c>
      <c r="E163">
        <v>1</v>
      </c>
      <c r="F163">
        <v>750</v>
      </c>
      <c r="G163">
        <v>570</v>
      </c>
      <c r="H163">
        <f t="shared" si="6"/>
        <v>750</v>
      </c>
      <c r="I163">
        <f t="shared" si="7"/>
        <v>570</v>
      </c>
      <c r="J163">
        <f t="shared" si="8"/>
        <v>180</v>
      </c>
    </row>
    <row r="164" spans="1:10" ht="28.8" x14ac:dyDescent="0.3">
      <c r="A164" s="7" t="s">
        <v>358</v>
      </c>
      <c r="B164" t="s">
        <v>639</v>
      </c>
      <c r="C164" s="1" t="s">
        <v>526</v>
      </c>
      <c r="D164" t="s">
        <v>421</v>
      </c>
      <c r="E164">
        <v>1</v>
      </c>
      <c r="F164">
        <v>500</v>
      </c>
      <c r="G164">
        <v>400</v>
      </c>
      <c r="H164">
        <f t="shared" si="6"/>
        <v>500</v>
      </c>
      <c r="I164">
        <f t="shared" si="7"/>
        <v>400</v>
      </c>
      <c r="J164">
        <f t="shared" si="8"/>
        <v>100</v>
      </c>
    </row>
    <row r="165" spans="1:10" ht="57.6" x14ac:dyDescent="0.3">
      <c r="A165" s="7" t="s">
        <v>359</v>
      </c>
      <c r="B165" t="s">
        <v>640</v>
      </c>
      <c r="C165" s="1" t="s">
        <v>647</v>
      </c>
      <c r="D165" t="s">
        <v>447</v>
      </c>
      <c r="E165">
        <v>1</v>
      </c>
      <c r="F165">
        <v>1000</v>
      </c>
      <c r="G165">
        <v>850</v>
      </c>
      <c r="H165">
        <f t="shared" si="6"/>
        <v>1000</v>
      </c>
      <c r="I165">
        <f t="shared" si="7"/>
        <v>850</v>
      </c>
      <c r="J165">
        <f t="shared" si="8"/>
        <v>150</v>
      </c>
    </row>
    <row r="166" spans="1:10" ht="57.6" x14ac:dyDescent="0.3">
      <c r="A166" s="7" t="s">
        <v>360</v>
      </c>
      <c r="B166" t="s">
        <v>641</v>
      </c>
      <c r="C166" s="1" t="s">
        <v>263</v>
      </c>
      <c r="D166" t="s">
        <v>2</v>
      </c>
      <c r="E166">
        <v>1</v>
      </c>
      <c r="F166">
        <v>1000</v>
      </c>
      <c r="G166">
        <v>850</v>
      </c>
      <c r="H166">
        <f t="shared" si="6"/>
        <v>1000</v>
      </c>
      <c r="I166">
        <f t="shared" si="7"/>
        <v>850</v>
      </c>
      <c r="J166">
        <f t="shared" si="8"/>
        <v>150</v>
      </c>
    </row>
    <row r="167" spans="1:10" ht="57.6" x14ac:dyDescent="0.3">
      <c r="A167" s="7" t="s">
        <v>361</v>
      </c>
      <c r="B167" t="s">
        <v>642</v>
      </c>
      <c r="C167" s="1" t="s">
        <v>266</v>
      </c>
      <c r="D167" t="s">
        <v>2</v>
      </c>
      <c r="E167">
        <v>1</v>
      </c>
      <c r="F167">
        <v>850</v>
      </c>
      <c r="G167">
        <v>700</v>
      </c>
      <c r="H167">
        <f t="shared" si="6"/>
        <v>850</v>
      </c>
      <c r="I167">
        <f t="shared" si="7"/>
        <v>700</v>
      </c>
      <c r="J167">
        <f t="shared" si="8"/>
        <v>150</v>
      </c>
    </row>
    <row r="168" spans="1:10" ht="28.8" x14ac:dyDescent="0.3">
      <c r="A168" s="7" t="s">
        <v>362</v>
      </c>
      <c r="B168" t="s">
        <v>643</v>
      </c>
      <c r="C168" s="1" t="s">
        <v>526</v>
      </c>
      <c r="D168" t="s">
        <v>421</v>
      </c>
      <c r="E168">
        <v>1</v>
      </c>
      <c r="F168">
        <v>350</v>
      </c>
      <c r="G168">
        <v>250</v>
      </c>
      <c r="H168">
        <f t="shared" si="6"/>
        <v>350</v>
      </c>
      <c r="I168">
        <f t="shared" si="7"/>
        <v>250</v>
      </c>
      <c r="J168">
        <f t="shared" si="8"/>
        <v>100</v>
      </c>
    </row>
    <row r="169" spans="1:10" ht="43.2" x14ac:dyDescent="0.3">
      <c r="A169" s="7" t="s">
        <v>363</v>
      </c>
      <c r="B169" t="s">
        <v>644</v>
      </c>
      <c r="C169" s="1" t="s">
        <v>648</v>
      </c>
      <c r="D169" t="s">
        <v>420</v>
      </c>
      <c r="E169">
        <v>1</v>
      </c>
      <c r="F169">
        <v>400</v>
      </c>
      <c r="G169">
        <v>300</v>
      </c>
      <c r="H169">
        <f t="shared" si="6"/>
        <v>400</v>
      </c>
      <c r="I169">
        <f t="shared" si="7"/>
        <v>300</v>
      </c>
      <c r="J169">
        <f t="shared" si="8"/>
        <v>100</v>
      </c>
    </row>
    <row r="170" spans="1:10" ht="43.2" x14ac:dyDescent="0.3">
      <c r="A170" s="7" t="s">
        <v>363</v>
      </c>
      <c r="B170" t="s">
        <v>645</v>
      </c>
      <c r="C170" s="1" t="s">
        <v>649</v>
      </c>
      <c r="D170" t="s">
        <v>420</v>
      </c>
      <c r="E170">
        <v>1</v>
      </c>
      <c r="F170">
        <v>250</v>
      </c>
      <c r="G170">
        <v>150</v>
      </c>
      <c r="H170">
        <f t="shared" si="6"/>
        <v>250</v>
      </c>
      <c r="I170">
        <f t="shared" si="7"/>
        <v>150</v>
      </c>
      <c r="J170">
        <f t="shared" si="8"/>
        <v>100</v>
      </c>
    </row>
    <row r="171" spans="1:10" ht="57.6" x14ac:dyDescent="0.3">
      <c r="A171" s="7" t="s">
        <v>364</v>
      </c>
      <c r="B171" t="s">
        <v>646</v>
      </c>
      <c r="C171" s="1" t="s">
        <v>269</v>
      </c>
      <c r="D171" t="s">
        <v>2</v>
      </c>
      <c r="E171">
        <v>1</v>
      </c>
      <c r="F171">
        <v>1500</v>
      </c>
      <c r="G171">
        <v>1050</v>
      </c>
      <c r="H171">
        <f t="shared" si="6"/>
        <v>1500</v>
      </c>
      <c r="I171">
        <f t="shared" si="7"/>
        <v>1050</v>
      </c>
      <c r="J171">
        <f t="shared" si="8"/>
        <v>450</v>
      </c>
    </row>
    <row r="172" spans="1:10" ht="28.8" x14ac:dyDescent="0.3">
      <c r="A172" s="7" t="s">
        <v>365</v>
      </c>
      <c r="B172" t="s">
        <v>650</v>
      </c>
      <c r="C172" s="12" t="s">
        <v>264</v>
      </c>
      <c r="D172" s="7" t="s">
        <v>734</v>
      </c>
      <c r="E172">
        <v>2</v>
      </c>
      <c r="F172">
        <v>100</v>
      </c>
      <c r="G172">
        <v>50</v>
      </c>
      <c r="H172">
        <f t="shared" si="6"/>
        <v>200</v>
      </c>
      <c r="I172">
        <f t="shared" si="7"/>
        <v>100</v>
      </c>
      <c r="J172">
        <f t="shared" si="8"/>
        <v>100</v>
      </c>
    </row>
    <row r="173" spans="1:10" ht="28.8" x14ac:dyDescent="0.3">
      <c r="A173" s="7" t="s">
        <v>366</v>
      </c>
      <c r="B173" t="s">
        <v>651</v>
      </c>
      <c r="C173" s="1" t="s">
        <v>526</v>
      </c>
      <c r="D173" t="s">
        <v>421</v>
      </c>
      <c r="E173">
        <v>1</v>
      </c>
      <c r="F173">
        <v>550</v>
      </c>
      <c r="G173">
        <v>450</v>
      </c>
      <c r="H173">
        <f t="shared" si="6"/>
        <v>550</v>
      </c>
      <c r="I173">
        <f t="shared" si="7"/>
        <v>450</v>
      </c>
      <c r="J173">
        <f t="shared" si="8"/>
        <v>100</v>
      </c>
    </row>
    <row r="174" spans="1:10" ht="28.8" x14ac:dyDescent="0.3">
      <c r="A174" s="7" t="s">
        <v>367</v>
      </c>
      <c r="B174" t="s">
        <v>652</v>
      </c>
      <c r="C174" s="1" t="s">
        <v>526</v>
      </c>
      <c r="D174" t="s">
        <v>421</v>
      </c>
      <c r="E174">
        <v>1</v>
      </c>
      <c r="F174">
        <v>500</v>
      </c>
      <c r="G174">
        <v>400</v>
      </c>
      <c r="H174">
        <f t="shared" si="6"/>
        <v>500</v>
      </c>
      <c r="I174">
        <f t="shared" si="7"/>
        <v>400</v>
      </c>
      <c r="J174">
        <f t="shared" si="8"/>
        <v>100</v>
      </c>
    </row>
    <row r="175" spans="1:10" ht="28.8" x14ac:dyDescent="0.3">
      <c r="A175" s="7" t="s">
        <v>368</v>
      </c>
      <c r="B175" t="s">
        <v>653</v>
      </c>
      <c r="C175" s="1" t="s">
        <v>526</v>
      </c>
      <c r="D175" t="s">
        <v>421</v>
      </c>
      <c r="E175">
        <v>1</v>
      </c>
      <c r="F175">
        <v>700</v>
      </c>
      <c r="G175">
        <v>550</v>
      </c>
      <c r="H175">
        <f t="shared" si="6"/>
        <v>700</v>
      </c>
      <c r="I175">
        <f t="shared" si="7"/>
        <v>550</v>
      </c>
      <c r="J175">
        <f t="shared" si="8"/>
        <v>150</v>
      </c>
    </row>
    <row r="176" spans="1:10" ht="43.2" x14ac:dyDescent="0.3">
      <c r="A176" s="7" t="s">
        <v>369</v>
      </c>
      <c r="B176" t="s">
        <v>654</v>
      </c>
      <c r="C176" s="1" t="s">
        <v>268</v>
      </c>
      <c r="D176" t="s">
        <v>2</v>
      </c>
      <c r="E176">
        <v>1</v>
      </c>
      <c r="F176">
        <v>900</v>
      </c>
      <c r="G176">
        <v>750</v>
      </c>
      <c r="H176">
        <f t="shared" si="6"/>
        <v>900</v>
      </c>
      <c r="I176">
        <f t="shared" si="7"/>
        <v>750</v>
      </c>
      <c r="J176">
        <f t="shared" si="8"/>
        <v>150</v>
      </c>
    </row>
    <row r="177" spans="1:10" ht="86.4" x14ac:dyDescent="0.3">
      <c r="A177" s="7" t="s">
        <v>386</v>
      </c>
      <c r="B177" t="s">
        <v>655</v>
      </c>
      <c r="C177" s="1" t="s">
        <v>265</v>
      </c>
      <c r="D177" t="s">
        <v>2</v>
      </c>
      <c r="E177">
        <v>1</v>
      </c>
      <c r="F177">
        <v>500</v>
      </c>
      <c r="G177">
        <v>400</v>
      </c>
      <c r="H177">
        <f t="shared" si="6"/>
        <v>500</v>
      </c>
      <c r="I177">
        <f t="shared" si="7"/>
        <v>400</v>
      </c>
      <c r="J177">
        <f t="shared" si="8"/>
        <v>100</v>
      </c>
    </row>
    <row r="178" spans="1:10" ht="28.8" x14ac:dyDescent="0.3">
      <c r="A178" s="7" t="s">
        <v>387</v>
      </c>
      <c r="B178" t="s">
        <v>659</v>
      </c>
      <c r="C178" s="1" t="s">
        <v>526</v>
      </c>
      <c r="D178" t="s">
        <v>421</v>
      </c>
      <c r="E178">
        <v>1</v>
      </c>
      <c r="F178">
        <v>900</v>
      </c>
      <c r="G178">
        <v>700</v>
      </c>
      <c r="H178">
        <f t="shared" si="6"/>
        <v>900</v>
      </c>
      <c r="I178">
        <f t="shared" si="7"/>
        <v>700</v>
      </c>
      <c r="J178">
        <f t="shared" si="8"/>
        <v>200</v>
      </c>
    </row>
    <row r="179" spans="1:10" ht="28.8" x14ac:dyDescent="0.3">
      <c r="A179" s="7" t="s">
        <v>388</v>
      </c>
      <c r="B179" t="s">
        <v>660</v>
      </c>
      <c r="C179" s="1" t="s">
        <v>267</v>
      </c>
      <c r="D179" t="s">
        <v>447</v>
      </c>
      <c r="E179">
        <v>1</v>
      </c>
      <c r="F179">
        <v>150</v>
      </c>
      <c r="G179">
        <v>80</v>
      </c>
      <c r="H179">
        <f t="shared" si="6"/>
        <v>150</v>
      </c>
      <c r="I179">
        <f t="shared" si="7"/>
        <v>80</v>
      </c>
      <c r="J179">
        <f t="shared" si="8"/>
        <v>70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1EFC-C391-4A1B-95F0-69D26C1EB726}">
  <dimension ref="A1:G49"/>
  <sheetViews>
    <sheetView workbookViewId="0">
      <selection activeCell="E37" sqref="E37"/>
    </sheetView>
  </sheetViews>
  <sheetFormatPr defaultRowHeight="14.4" x14ac:dyDescent="0.3"/>
  <sheetData>
    <row r="1" spans="1:7" ht="28.8" x14ac:dyDescent="0.3">
      <c r="A1" s="9" t="s">
        <v>27</v>
      </c>
      <c r="B1" s="9" t="s">
        <v>28</v>
      </c>
      <c r="C1" s="9" t="s">
        <v>31</v>
      </c>
      <c r="D1" s="9" t="s">
        <v>32</v>
      </c>
      <c r="E1" s="9" t="s">
        <v>718</v>
      </c>
      <c r="F1" s="9" t="s">
        <v>33</v>
      </c>
      <c r="G1" s="9"/>
    </row>
    <row r="2" spans="1:7" x14ac:dyDescent="0.3">
      <c r="A2" s="3" t="s">
        <v>661</v>
      </c>
      <c r="B2" s="3" t="s">
        <v>724</v>
      </c>
      <c r="C2">
        <v>5</v>
      </c>
      <c r="D2">
        <v>3</v>
      </c>
      <c r="E2" t="s">
        <v>719</v>
      </c>
      <c r="F2" t="str">
        <f>IF(C2&lt;=D2,"Low Stock","Sufficient")</f>
        <v>Sufficient</v>
      </c>
    </row>
    <row r="3" spans="1:7" x14ac:dyDescent="0.3">
      <c r="A3" s="3" t="s">
        <v>662</v>
      </c>
      <c r="B3" s="3" t="s">
        <v>724</v>
      </c>
      <c r="C3">
        <v>5</v>
      </c>
      <c r="D3">
        <v>3</v>
      </c>
      <c r="E3" t="s">
        <v>719</v>
      </c>
      <c r="F3" t="str">
        <f t="shared" ref="F3:F49" si="0">IF(C3&lt;=D3,"Low Stock","Sufficient")</f>
        <v>Sufficient</v>
      </c>
    </row>
    <row r="4" spans="1:7" ht="28.8" x14ac:dyDescent="0.3">
      <c r="A4" s="10" t="s">
        <v>670</v>
      </c>
      <c r="B4" s="3" t="s">
        <v>724</v>
      </c>
      <c r="C4">
        <v>1</v>
      </c>
      <c r="D4">
        <v>2</v>
      </c>
      <c r="E4" t="s">
        <v>720</v>
      </c>
      <c r="F4" t="str">
        <f t="shared" si="0"/>
        <v>Low Stock</v>
      </c>
    </row>
    <row r="5" spans="1:7" ht="43.2" x14ac:dyDescent="0.3">
      <c r="A5" s="3" t="s">
        <v>663</v>
      </c>
      <c r="B5" s="3" t="s">
        <v>724</v>
      </c>
      <c r="C5">
        <v>2</v>
      </c>
      <c r="D5">
        <v>3</v>
      </c>
      <c r="E5" t="s">
        <v>721</v>
      </c>
      <c r="F5" t="str">
        <f t="shared" si="0"/>
        <v>Low Stock</v>
      </c>
    </row>
    <row r="6" spans="1:7" ht="43.2" x14ac:dyDescent="0.3">
      <c r="A6" s="3" t="s">
        <v>664</v>
      </c>
      <c r="B6" s="3" t="s">
        <v>724</v>
      </c>
      <c r="C6">
        <v>5</v>
      </c>
      <c r="D6">
        <v>2</v>
      </c>
      <c r="E6" t="s">
        <v>722</v>
      </c>
      <c r="F6" t="str">
        <f t="shared" si="0"/>
        <v>Sufficient</v>
      </c>
    </row>
    <row r="7" spans="1:7" ht="72" x14ac:dyDescent="0.3">
      <c r="A7" s="3" t="s">
        <v>665</v>
      </c>
      <c r="B7" s="3" t="s">
        <v>724</v>
      </c>
      <c r="C7">
        <v>50</v>
      </c>
      <c r="D7">
        <v>20</v>
      </c>
      <c r="E7" t="s">
        <v>723</v>
      </c>
      <c r="F7" t="str">
        <f t="shared" si="0"/>
        <v>Sufficient</v>
      </c>
    </row>
    <row r="8" spans="1:7" ht="43.2" x14ac:dyDescent="0.3">
      <c r="A8" s="3" t="s">
        <v>666</v>
      </c>
      <c r="B8" s="3" t="s">
        <v>724</v>
      </c>
      <c r="C8">
        <v>20</v>
      </c>
      <c r="D8">
        <v>25</v>
      </c>
      <c r="E8" t="s">
        <v>723</v>
      </c>
      <c r="F8" t="str">
        <f t="shared" si="0"/>
        <v>Low Stock</v>
      </c>
    </row>
    <row r="9" spans="1:7" ht="43.2" x14ac:dyDescent="0.3">
      <c r="A9" s="3" t="s">
        <v>667</v>
      </c>
      <c r="B9" s="3" t="s">
        <v>724</v>
      </c>
      <c r="C9">
        <v>30</v>
      </c>
      <c r="D9">
        <v>20</v>
      </c>
      <c r="E9" t="s">
        <v>723</v>
      </c>
      <c r="F9" t="str">
        <f t="shared" si="0"/>
        <v>Sufficient</v>
      </c>
    </row>
    <row r="10" spans="1:7" ht="43.2" x14ac:dyDescent="0.3">
      <c r="A10" s="3" t="s">
        <v>668</v>
      </c>
      <c r="B10" s="3" t="s">
        <v>724</v>
      </c>
      <c r="C10">
        <v>18</v>
      </c>
      <c r="D10">
        <v>25</v>
      </c>
      <c r="E10" t="s">
        <v>723</v>
      </c>
      <c r="F10" t="str">
        <f t="shared" si="0"/>
        <v>Low Stock</v>
      </c>
    </row>
    <row r="11" spans="1:7" ht="43.2" x14ac:dyDescent="0.3">
      <c r="A11" s="3" t="s">
        <v>669</v>
      </c>
      <c r="B11" s="3" t="s">
        <v>724</v>
      </c>
      <c r="C11">
        <v>30</v>
      </c>
      <c r="D11">
        <v>25</v>
      </c>
      <c r="E11" t="s">
        <v>723</v>
      </c>
      <c r="F11" t="str">
        <f t="shared" si="0"/>
        <v>Sufficient</v>
      </c>
    </row>
    <row r="12" spans="1:7" ht="28.8" x14ac:dyDescent="0.3">
      <c r="A12" s="3" t="s">
        <v>671</v>
      </c>
      <c r="B12" s="3" t="s">
        <v>447</v>
      </c>
      <c r="C12">
        <v>3</v>
      </c>
      <c r="D12">
        <v>5</v>
      </c>
      <c r="E12" t="s">
        <v>719</v>
      </c>
      <c r="F12" t="str">
        <f t="shared" si="0"/>
        <v>Low Stock</v>
      </c>
    </row>
    <row r="13" spans="1:7" ht="28.8" x14ac:dyDescent="0.3">
      <c r="A13" s="3" t="s">
        <v>672</v>
      </c>
      <c r="B13" s="3" t="s">
        <v>447</v>
      </c>
      <c r="C13">
        <v>4</v>
      </c>
      <c r="D13">
        <v>2</v>
      </c>
      <c r="E13" t="s">
        <v>721</v>
      </c>
      <c r="F13" t="str">
        <f t="shared" si="0"/>
        <v>Sufficient</v>
      </c>
    </row>
    <row r="14" spans="1:7" ht="43.2" x14ac:dyDescent="0.3">
      <c r="A14" s="3" t="s">
        <v>673</v>
      </c>
      <c r="B14" s="3" t="s">
        <v>447</v>
      </c>
      <c r="C14">
        <v>6</v>
      </c>
      <c r="D14">
        <v>10</v>
      </c>
      <c r="E14" t="s">
        <v>721</v>
      </c>
      <c r="F14" t="str">
        <f t="shared" si="0"/>
        <v>Low Stock</v>
      </c>
    </row>
    <row r="15" spans="1:7" ht="28.8" x14ac:dyDescent="0.3">
      <c r="A15" s="3" t="s">
        <v>674</v>
      </c>
      <c r="B15" s="3" t="s">
        <v>447</v>
      </c>
      <c r="C15">
        <v>7</v>
      </c>
      <c r="D15">
        <v>10</v>
      </c>
      <c r="E15" t="s">
        <v>723</v>
      </c>
      <c r="F15" t="str">
        <f t="shared" si="0"/>
        <v>Low Stock</v>
      </c>
    </row>
    <row r="16" spans="1:7" ht="43.2" x14ac:dyDescent="0.3">
      <c r="A16" s="3" t="s">
        <v>675</v>
      </c>
      <c r="B16" s="3" t="s">
        <v>447</v>
      </c>
      <c r="C16">
        <v>30</v>
      </c>
      <c r="D16">
        <v>20</v>
      </c>
      <c r="E16" t="s">
        <v>723</v>
      </c>
      <c r="F16" t="str">
        <f t="shared" si="0"/>
        <v>Sufficient</v>
      </c>
    </row>
    <row r="17" spans="1:6" ht="43.2" x14ac:dyDescent="0.3">
      <c r="A17" s="3" t="s">
        <v>676</v>
      </c>
      <c r="B17" s="3" t="s">
        <v>447</v>
      </c>
      <c r="C17">
        <v>9</v>
      </c>
      <c r="D17">
        <v>10</v>
      </c>
      <c r="E17" t="s">
        <v>723</v>
      </c>
      <c r="F17" t="str">
        <f t="shared" si="0"/>
        <v>Low Stock</v>
      </c>
    </row>
    <row r="18" spans="1:6" ht="43.2" x14ac:dyDescent="0.3">
      <c r="A18" s="3" t="s">
        <v>711</v>
      </c>
      <c r="B18" s="3" t="s">
        <v>2</v>
      </c>
      <c r="C18">
        <v>20</v>
      </c>
      <c r="D18">
        <v>12</v>
      </c>
      <c r="E18" t="s">
        <v>723</v>
      </c>
      <c r="F18" t="str">
        <f t="shared" si="0"/>
        <v>Sufficient</v>
      </c>
    </row>
    <row r="19" spans="1:6" ht="28.8" x14ac:dyDescent="0.3">
      <c r="A19" s="3" t="s">
        <v>677</v>
      </c>
      <c r="B19" s="3" t="s">
        <v>2</v>
      </c>
      <c r="C19">
        <v>4</v>
      </c>
      <c r="D19">
        <v>2</v>
      </c>
      <c r="E19" t="s">
        <v>722</v>
      </c>
      <c r="F19" t="str">
        <f t="shared" si="0"/>
        <v>Sufficient</v>
      </c>
    </row>
    <row r="20" spans="1:6" ht="86.4" x14ac:dyDescent="0.3">
      <c r="A20" s="3" t="s">
        <v>678</v>
      </c>
      <c r="B20" s="3" t="s">
        <v>2</v>
      </c>
      <c r="C20">
        <v>5</v>
      </c>
      <c r="D20">
        <v>10</v>
      </c>
      <c r="E20" t="s">
        <v>723</v>
      </c>
      <c r="F20" t="str">
        <f t="shared" si="0"/>
        <v>Low Stock</v>
      </c>
    </row>
    <row r="21" spans="1:6" ht="28.8" x14ac:dyDescent="0.3">
      <c r="A21" s="3" t="s">
        <v>679</v>
      </c>
      <c r="B21" s="3" t="s">
        <v>2</v>
      </c>
      <c r="C21">
        <v>10</v>
      </c>
      <c r="D21">
        <v>10</v>
      </c>
      <c r="E21" t="s">
        <v>723</v>
      </c>
      <c r="F21" t="str">
        <f t="shared" si="0"/>
        <v>Low Stock</v>
      </c>
    </row>
    <row r="22" spans="1:6" ht="28.8" x14ac:dyDescent="0.3">
      <c r="A22" s="3" t="s">
        <v>680</v>
      </c>
      <c r="B22" s="3" t="s">
        <v>2</v>
      </c>
      <c r="C22">
        <v>30</v>
      </c>
      <c r="D22">
        <v>20</v>
      </c>
      <c r="E22" t="s">
        <v>723</v>
      </c>
      <c r="F22" t="str">
        <f t="shared" si="0"/>
        <v>Sufficient</v>
      </c>
    </row>
    <row r="23" spans="1:6" ht="28.8" x14ac:dyDescent="0.3">
      <c r="A23" s="3" t="s">
        <v>681</v>
      </c>
      <c r="B23" s="3" t="s">
        <v>2</v>
      </c>
      <c r="C23">
        <v>12</v>
      </c>
      <c r="D23">
        <v>10</v>
      </c>
      <c r="E23" t="s">
        <v>723</v>
      </c>
      <c r="F23" t="str">
        <f t="shared" si="0"/>
        <v>Sufficient</v>
      </c>
    </row>
    <row r="24" spans="1:6" ht="43.2" x14ac:dyDescent="0.3">
      <c r="A24" s="3" t="s">
        <v>682</v>
      </c>
      <c r="B24" s="3" t="s">
        <v>683</v>
      </c>
      <c r="C24">
        <v>2</v>
      </c>
      <c r="D24">
        <v>4</v>
      </c>
      <c r="E24" t="s">
        <v>720</v>
      </c>
      <c r="F24" t="str">
        <f t="shared" si="0"/>
        <v>Low Stock</v>
      </c>
    </row>
    <row r="25" spans="1:6" ht="28.8" x14ac:dyDescent="0.3">
      <c r="A25" s="3" t="s">
        <v>684</v>
      </c>
      <c r="B25" s="3" t="s">
        <v>685</v>
      </c>
      <c r="C25">
        <v>13</v>
      </c>
      <c r="D25">
        <v>15</v>
      </c>
      <c r="E25" t="s">
        <v>723</v>
      </c>
      <c r="F25" t="str">
        <f t="shared" si="0"/>
        <v>Low Stock</v>
      </c>
    </row>
    <row r="26" spans="1:6" ht="28.8" x14ac:dyDescent="0.3">
      <c r="A26" s="3" t="s">
        <v>686</v>
      </c>
      <c r="B26" s="3" t="s">
        <v>687</v>
      </c>
      <c r="C26">
        <v>20</v>
      </c>
      <c r="D26">
        <v>15</v>
      </c>
      <c r="E26" t="s">
        <v>723</v>
      </c>
      <c r="F26" t="str">
        <f t="shared" si="0"/>
        <v>Sufficient</v>
      </c>
    </row>
    <row r="27" spans="1:6" ht="43.2" x14ac:dyDescent="0.3">
      <c r="A27" s="3" t="s">
        <v>688</v>
      </c>
      <c r="B27" s="3" t="s">
        <v>689</v>
      </c>
      <c r="C27">
        <v>10</v>
      </c>
      <c r="D27">
        <v>15</v>
      </c>
      <c r="E27" t="s">
        <v>723</v>
      </c>
      <c r="F27" t="str">
        <f t="shared" si="0"/>
        <v>Low Stock</v>
      </c>
    </row>
    <row r="28" spans="1:6" ht="28.8" x14ac:dyDescent="0.3">
      <c r="A28" s="3" t="s">
        <v>690</v>
      </c>
      <c r="B28" s="3" t="s">
        <v>418</v>
      </c>
      <c r="C28">
        <v>20</v>
      </c>
      <c r="D28">
        <v>10</v>
      </c>
      <c r="E28" t="s">
        <v>723</v>
      </c>
      <c r="F28" t="str">
        <f t="shared" si="0"/>
        <v>Sufficient</v>
      </c>
    </row>
    <row r="29" spans="1:6" ht="28.8" x14ac:dyDescent="0.3">
      <c r="A29" s="3" t="s">
        <v>691</v>
      </c>
      <c r="B29" s="3" t="s">
        <v>418</v>
      </c>
      <c r="C29">
        <v>12</v>
      </c>
      <c r="D29">
        <v>10</v>
      </c>
      <c r="E29" t="s">
        <v>723</v>
      </c>
      <c r="F29" t="str">
        <f t="shared" si="0"/>
        <v>Sufficient</v>
      </c>
    </row>
    <row r="30" spans="1:6" ht="28.8" x14ac:dyDescent="0.3">
      <c r="A30" s="3" t="s">
        <v>692</v>
      </c>
      <c r="B30" s="3" t="s">
        <v>693</v>
      </c>
      <c r="C30">
        <v>40</v>
      </c>
      <c r="D30">
        <v>20</v>
      </c>
      <c r="E30" t="s">
        <v>723</v>
      </c>
      <c r="F30" t="str">
        <f t="shared" si="0"/>
        <v>Sufficient</v>
      </c>
    </row>
    <row r="31" spans="1:6" x14ac:dyDescent="0.3">
      <c r="A31" s="3" t="s">
        <v>694</v>
      </c>
      <c r="B31" s="3" t="s">
        <v>695</v>
      </c>
      <c r="C31">
        <v>15</v>
      </c>
      <c r="D31">
        <v>10</v>
      </c>
      <c r="E31" t="s">
        <v>723</v>
      </c>
      <c r="F31" t="str">
        <f t="shared" si="0"/>
        <v>Sufficient</v>
      </c>
    </row>
    <row r="32" spans="1:6" ht="28.8" x14ac:dyDescent="0.3">
      <c r="A32" s="3" t="s">
        <v>696</v>
      </c>
      <c r="B32" s="3" t="s">
        <v>428</v>
      </c>
      <c r="C32">
        <v>35</v>
      </c>
      <c r="D32">
        <v>15</v>
      </c>
      <c r="E32" t="s">
        <v>723</v>
      </c>
      <c r="F32" t="str">
        <f t="shared" si="0"/>
        <v>Sufficient</v>
      </c>
    </row>
    <row r="33" spans="1:6" ht="28.8" x14ac:dyDescent="0.3">
      <c r="A33" s="3" t="s">
        <v>697</v>
      </c>
      <c r="B33" s="3" t="s">
        <v>418</v>
      </c>
      <c r="C33">
        <v>50</v>
      </c>
      <c r="D33">
        <v>15</v>
      </c>
      <c r="E33" t="s">
        <v>723</v>
      </c>
      <c r="F33" t="str">
        <f t="shared" si="0"/>
        <v>Sufficient</v>
      </c>
    </row>
    <row r="34" spans="1:6" ht="72" x14ac:dyDescent="0.3">
      <c r="A34" s="3" t="s">
        <v>698</v>
      </c>
      <c r="B34" s="3" t="s">
        <v>699</v>
      </c>
      <c r="C34">
        <v>15</v>
      </c>
      <c r="D34">
        <v>20</v>
      </c>
      <c r="E34" t="s">
        <v>723</v>
      </c>
      <c r="F34" t="str">
        <f t="shared" si="0"/>
        <v>Low Stock</v>
      </c>
    </row>
    <row r="35" spans="1:6" ht="28.8" x14ac:dyDescent="0.3">
      <c r="A35" s="3" t="s">
        <v>700</v>
      </c>
      <c r="B35" s="3" t="s">
        <v>701</v>
      </c>
      <c r="C35">
        <v>25</v>
      </c>
      <c r="D35">
        <v>20</v>
      </c>
      <c r="E35" t="s">
        <v>723</v>
      </c>
      <c r="F35" t="str">
        <f t="shared" si="0"/>
        <v>Sufficient</v>
      </c>
    </row>
    <row r="36" spans="1:6" ht="28.8" x14ac:dyDescent="0.3">
      <c r="A36" s="3" t="s">
        <v>702</v>
      </c>
      <c r="B36" s="3" t="s">
        <v>701</v>
      </c>
      <c r="C36">
        <v>13</v>
      </c>
      <c r="D36">
        <v>20</v>
      </c>
      <c r="E36" t="s">
        <v>723</v>
      </c>
      <c r="F36" t="str">
        <f t="shared" si="0"/>
        <v>Low Stock</v>
      </c>
    </row>
    <row r="37" spans="1:6" ht="28.8" x14ac:dyDescent="0.3">
      <c r="A37" s="3" t="s">
        <v>703</v>
      </c>
      <c r="B37" s="3" t="s">
        <v>701</v>
      </c>
      <c r="C37">
        <v>4</v>
      </c>
      <c r="D37">
        <v>2</v>
      </c>
      <c r="E37" t="s">
        <v>719</v>
      </c>
      <c r="F37" t="str">
        <f t="shared" si="0"/>
        <v>Sufficient</v>
      </c>
    </row>
    <row r="38" spans="1:6" ht="28.8" x14ac:dyDescent="0.3">
      <c r="A38" s="3" t="s">
        <v>704</v>
      </c>
      <c r="B38" s="3" t="s">
        <v>447</v>
      </c>
      <c r="C38">
        <v>3</v>
      </c>
      <c r="D38">
        <v>2</v>
      </c>
      <c r="E38" t="s">
        <v>722</v>
      </c>
      <c r="F38" t="str">
        <f t="shared" si="0"/>
        <v>Sufficient</v>
      </c>
    </row>
    <row r="39" spans="1:6" ht="43.2" x14ac:dyDescent="0.3">
      <c r="A39" s="3" t="s">
        <v>705</v>
      </c>
      <c r="B39" s="3" t="s">
        <v>706</v>
      </c>
      <c r="C39">
        <v>20</v>
      </c>
      <c r="D39">
        <v>20</v>
      </c>
      <c r="E39" t="s">
        <v>723</v>
      </c>
      <c r="F39" t="str">
        <f t="shared" si="0"/>
        <v>Low Stock</v>
      </c>
    </row>
    <row r="40" spans="1:6" ht="28.8" x14ac:dyDescent="0.3">
      <c r="A40" s="3" t="s">
        <v>707</v>
      </c>
      <c r="B40" s="3" t="s">
        <v>706</v>
      </c>
      <c r="C40">
        <v>15</v>
      </c>
      <c r="D40">
        <v>10</v>
      </c>
      <c r="E40" t="s">
        <v>723</v>
      </c>
      <c r="F40" t="str">
        <f t="shared" si="0"/>
        <v>Sufficient</v>
      </c>
    </row>
    <row r="41" spans="1:6" ht="86.4" x14ac:dyDescent="0.3">
      <c r="A41" s="3" t="s">
        <v>708</v>
      </c>
      <c r="B41" s="3" t="s">
        <v>699</v>
      </c>
      <c r="C41">
        <v>3</v>
      </c>
      <c r="D41">
        <v>5</v>
      </c>
      <c r="E41" t="s">
        <v>723</v>
      </c>
      <c r="F41" t="str">
        <f t="shared" si="0"/>
        <v>Low Stock</v>
      </c>
    </row>
    <row r="42" spans="1:6" x14ac:dyDescent="0.3">
      <c r="A42" s="3" t="s">
        <v>709</v>
      </c>
      <c r="B42" s="3" t="s">
        <v>699</v>
      </c>
      <c r="C42">
        <v>4</v>
      </c>
      <c r="D42">
        <v>5</v>
      </c>
      <c r="E42" t="s">
        <v>721</v>
      </c>
      <c r="F42" t="str">
        <f t="shared" si="0"/>
        <v>Low Stock</v>
      </c>
    </row>
    <row r="43" spans="1:6" ht="43.2" x14ac:dyDescent="0.3">
      <c r="A43" s="3" t="s">
        <v>710</v>
      </c>
      <c r="B43" s="3" t="s">
        <v>699</v>
      </c>
      <c r="C43">
        <v>5</v>
      </c>
      <c r="D43">
        <v>8</v>
      </c>
      <c r="E43" t="s">
        <v>721</v>
      </c>
      <c r="F43" t="str">
        <f t="shared" si="0"/>
        <v>Low Stock</v>
      </c>
    </row>
    <row r="44" spans="1:6" ht="28.8" x14ac:dyDescent="0.3">
      <c r="A44" s="3" t="s">
        <v>712</v>
      </c>
      <c r="B44" s="3" t="s">
        <v>447</v>
      </c>
      <c r="C44">
        <v>10</v>
      </c>
      <c r="D44">
        <v>5</v>
      </c>
      <c r="E44" t="s">
        <v>723</v>
      </c>
      <c r="F44" t="str">
        <f t="shared" si="0"/>
        <v>Sufficient</v>
      </c>
    </row>
    <row r="45" spans="1:6" ht="43.2" x14ac:dyDescent="0.3">
      <c r="A45" s="3" t="s">
        <v>713</v>
      </c>
      <c r="B45" s="3" t="s">
        <v>447</v>
      </c>
      <c r="C45">
        <v>20</v>
      </c>
      <c r="D45">
        <v>50</v>
      </c>
      <c r="E45" t="s">
        <v>723</v>
      </c>
      <c r="F45" t="str">
        <f t="shared" si="0"/>
        <v>Low Stock</v>
      </c>
    </row>
    <row r="46" spans="1:6" ht="28.8" x14ac:dyDescent="0.3">
      <c r="A46" s="3" t="s">
        <v>714</v>
      </c>
      <c r="B46" s="3" t="s">
        <v>447</v>
      </c>
      <c r="C46">
        <v>5</v>
      </c>
      <c r="D46">
        <v>2</v>
      </c>
      <c r="E46" t="s">
        <v>722</v>
      </c>
      <c r="F46" t="str">
        <f t="shared" si="0"/>
        <v>Sufficient</v>
      </c>
    </row>
    <row r="47" spans="1:6" ht="43.2" x14ac:dyDescent="0.3">
      <c r="A47" s="3" t="s">
        <v>715</v>
      </c>
      <c r="B47" s="3" t="s">
        <v>725</v>
      </c>
      <c r="C47">
        <v>15</v>
      </c>
      <c r="D47">
        <v>20</v>
      </c>
      <c r="E47" t="s">
        <v>723</v>
      </c>
      <c r="F47" t="str">
        <f t="shared" si="0"/>
        <v>Low Stock</v>
      </c>
    </row>
    <row r="48" spans="1:6" ht="43.2" x14ac:dyDescent="0.3">
      <c r="A48" s="3" t="s">
        <v>716</v>
      </c>
      <c r="B48" s="3" t="s">
        <v>725</v>
      </c>
      <c r="C48">
        <v>30</v>
      </c>
      <c r="D48">
        <v>20</v>
      </c>
      <c r="E48" t="s">
        <v>723</v>
      </c>
      <c r="F48" t="str">
        <f t="shared" si="0"/>
        <v>Sufficient</v>
      </c>
    </row>
    <row r="49" spans="1:6" ht="28.8" x14ac:dyDescent="0.3">
      <c r="A49" s="3" t="s">
        <v>717</v>
      </c>
      <c r="B49" s="3" t="s">
        <v>2</v>
      </c>
      <c r="C49">
        <v>20</v>
      </c>
      <c r="D49">
        <v>10</v>
      </c>
      <c r="E49" t="s">
        <v>723</v>
      </c>
      <c r="F49" t="str">
        <f t="shared" si="0"/>
        <v>Sufficient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Date_sheet</vt:lpstr>
      <vt:lpstr>Customer_sheet</vt:lpstr>
      <vt:lpstr>Order_sheet</vt:lpstr>
      <vt:lpstr>Sales_sheet</vt:lpstr>
      <vt:lpstr>Inventory_sheet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ADRIJA SARMA CHOUDHURY</dc:creator>
  <cp:keywords/>
  <dc:description/>
  <cp:lastModifiedBy>ADRIJA SARMA CHOUDHURY</cp:lastModifiedBy>
  <cp:revision/>
  <dcterms:created xsi:type="dcterms:W3CDTF">2025-11-06T07:05:27Z</dcterms:created>
  <dcterms:modified xsi:type="dcterms:W3CDTF">2026-02-25T18:32:34Z</dcterms:modified>
  <cp:category/>
  <cp:contentStatus/>
</cp:coreProperties>
</file>